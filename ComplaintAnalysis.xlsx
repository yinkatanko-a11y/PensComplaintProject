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stomer Analyst\"/>
    </mc:Choice>
  </mc:AlternateContent>
  <xr:revisionPtr revIDLastSave="0" documentId="8_{2EEA9A01-B2F5-4EE2-BA76-3A8C47C8C58E}" xr6:coauthVersionLast="47" xr6:coauthVersionMax="47" xr10:uidLastSave="{00000000-0000-0000-0000-000000000000}"/>
  <bookViews>
    <workbookView xWindow="-110" yWindow="-110" windowWidth="19420" windowHeight="10300" firstSheet="1" activeTab="4" xr2:uid="{86604400-979D-4266-9FB8-8B09B8685FE6}"/>
  </bookViews>
  <sheets>
    <sheet name="pension_complaints_dataset" sheetId="2" r:id="rId1"/>
    <sheet name="Cleaned_Data" sheetId="3" r:id="rId2"/>
    <sheet name="Root_Cause_Pivot" sheetId="4" r:id="rId3"/>
    <sheet name="Resp_Team" sheetId="5" r:id="rId4"/>
    <sheet name="CrossTeam" sheetId="6" r:id="rId5"/>
    <sheet name="Complainant_Type" sheetId="7" r:id="rId6"/>
  </sheets>
  <definedNames>
    <definedName name="ExternalData_1" localSheetId="1" hidden="1">Cleaned_Data!$A$1:$F$251</definedName>
    <definedName name="ExternalData_1" localSheetId="0" hidden="1">pension_complaints_dataset!$A$1:$F$251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2F1752-E170-4B20-8787-C11563F7FA3F}" keepAlive="1" name="Query - pension_complaints_dataset" description="Connection to the 'pension_complaints_dataset' query in the workbook." type="5" refreshedVersion="7" background="1" saveData="1">
    <dbPr connection="Provider=Microsoft.Mashup.OleDb.1;Data Source=$Workbook$;Location=pension_complaints_dataset;Extended Properties=&quot;&quot;" command="SELECT * FROM [pension_complaints_dataset]"/>
  </connection>
  <connection id="2" xr16:uid="{49C7B64E-5804-42BA-85E7-2B277FEEF917}" keepAlive="1" name="Query - pension_complaints_dataset (2)" description="Connection to the 'pension_complaints_dataset (2)' query in the workbook." type="5" refreshedVersion="7" background="1" saveData="1">
    <dbPr connection="Provider=Microsoft.Mashup.OleDb.1;Data Source=$Workbook$;Location=&quot;pension_complaints_dataset (2)&quot;;Extended Properties=&quot;&quot;" command="SELECT * FROM [pension_complaints_dataset (2)]"/>
  </connection>
</connections>
</file>

<file path=xl/sharedStrings.xml><?xml version="1.0" encoding="utf-8"?>
<sst xmlns="http://schemas.openxmlformats.org/spreadsheetml/2006/main" count="2549" uniqueCount="282">
  <si>
    <t>Complaint_ID</t>
  </si>
  <si>
    <t>Policy_Number</t>
  </si>
  <si>
    <t>Responsible_Team</t>
  </si>
  <si>
    <t>Handling_Team</t>
  </si>
  <si>
    <t>Complainant_Type</t>
  </si>
  <si>
    <t>Root_Cause</t>
  </si>
  <si>
    <t>RQ617443</t>
  </si>
  <si>
    <t>Service First</t>
  </si>
  <si>
    <t>Policy Holder</t>
  </si>
  <si>
    <t>Misinformation</t>
  </si>
  <si>
    <t>SG431353</t>
  </si>
  <si>
    <t>Drawdown</t>
  </si>
  <si>
    <t>Servicing Agent</t>
  </si>
  <si>
    <t>Poor Communication</t>
  </si>
  <si>
    <t>PT935208</t>
  </si>
  <si>
    <t>Workplace Pension</t>
  </si>
  <si>
    <t>Annuity</t>
  </si>
  <si>
    <t>Lawyer</t>
  </si>
  <si>
    <t>HA671389</t>
  </si>
  <si>
    <t>Financial Adviser</t>
  </si>
  <si>
    <t>ND328070</t>
  </si>
  <si>
    <t>12345678</t>
  </si>
  <si>
    <t>GD959480</t>
  </si>
  <si>
    <t>Attorney</t>
  </si>
  <si>
    <t>Delayed Response</t>
  </si>
  <si>
    <t>ZB589617</t>
  </si>
  <si>
    <t>KG809060</t>
  </si>
  <si>
    <t>PQ919081</t>
  </si>
  <si>
    <t>GN355259</t>
  </si>
  <si>
    <t>service first</t>
  </si>
  <si>
    <t>EH502355</t>
  </si>
  <si>
    <t>ZQ853579</t>
  </si>
  <si>
    <t>FB572895</t>
  </si>
  <si>
    <t>DG206667</t>
  </si>
  <si>
    <t>NF370256</t>
  </si>
  <si>
    <t>GD605790</t>
  </si>
  <si>
    <t>YE587634</t>
  </si>
  <si>
    <t>KR478981</t>
  </si>
  <si>
    <t>SB000101</t>
  </si>
  <si>
    <t>DS343128</t>
  </si>
  <si>
    <t/>
  </si>
  <si>
    <t>EQ870594</t>
  </si>
  <si>
    <t>EA881914</t>
  </si>
  <si>
    <t>AB567633</t>
  </si>
  <si>
    <t>JT964839</t>
  </si>
  <si>
    <t>SU951356</t>
  </si>
  <si>
    <t>GR149779</t>
  </si>
  <si>
    <t>UH657462</t>
  </si>
  <si>
    <t>SM216563</t>
  </si>
  <si>
    <t>LE178277</t>
  </si>
  <si>
    <t>AB041628</t>
  </si>
  <si>
    <t>PolicyHolder</t>
  </si>
  <si>
    <t>QO203829</t>
  </si>
  <si>
    <t>NR298896</t>
  </si>
  <si>
    <t>XW440127</t>
  </si>
  <si>
    <t>ZW241070</t>
  </si>
  <si>
    <t>BO527999</t>
  </si>
  <si>
    <t>PM272374</t>
  </si>
  <si>
    <t>AO747631</t>
  </si>
  <si>
    <t>OV574249</t>
  </si>
  <si>
    <t>VG970707</t>
  </si>
  <si>
    <t>SE716954</t>
  </si>
  <si>
    <t>Poor Comm</t>
  </si>
  <si>
    <t>NZ515110</t>
  </si>
  <si>
    <t>QL484067</t>
  </si>
  <si>
    <t>VY731079</t>
  </si>
  <si>
    <t>NP848044</t>
  </si>
  <si>
    <t>YX979911</t>
  </si>
  <si>
    <t>ED237814</t>
  </si>
  <si>
    <t>QF743549</t>
  </si>
  <si>
    <t>ZI285724</t>
  </si>
  <si>
    <t>HY433700</t>
  </si>
  <si>
    <t>AB12</t>
  </si>
  <si>
    <t>YC775114</t>
  </si>
  <si>
    <t>ZQ806628</t>
  </si>
  <si>
    <t>VH219906</t>
  </si>
  <si>
    <t>WP222044</t>
  </si>
  <si>
    <t>TS215903</t>
  </si>
  <si>
    <t>PY967206</t>
  </si>
  <si>
    <t>OL099452</t>
  </si>
  <si>
    <t>CQ692454</t>
  </si>
  <si>
    <t>HF212886</t>
  </si>
  <si>
    <t>WL048337</t>
  </si>
  <si>
    <t>UB496412</t>
  </si>
  <si>
    <t>DI579863</t>
  </si>
  <si>
    <t>GQ441736</t>
  </si>
  <si>
    <t>VG766810</t>
  </si>
  <si>
    <t>OI794602</t>
  </si>
  <si>
    <t>IA382014</t>
  </si>
  <si>
    <t>BM744826</t>
  </si>
  <si>
    <t>AP430688</t>
  </si>
  <si>
    <t>CP613128</t>
  </si>
  <si>
    <t>RD365248</t>
  </si>
  <si>
    <t>KQ083499</t>
  </si>
  <si>
    <t>GF714325</t>
  </si>
  <si>
    <t>VA260495</t>
  </si>
  <si>
    <t>AK463634</t>
  </si>
  <si>
    <t>NC406519</t>
  </si>
  <si>
    <t>CJ221667</t>
  </si>
  <si>
    <t>QL235763</t>
  </si>
  <si>
    <t>LZ720750</t>
  </si>
  <si>
    <t>IF505062</t>
  </si>
  <si>
    <t>AG509900</t>
  </si>
  <si>
    <t>XF659476</t>
  </si>
  <si>
    <t>IJ236282</t>
  </si>
  <si>
    <t>OS603554</t>
  </si>
  <si>
    <t>OB672792</t>
  </si>
  <si>
    <t>NU707203</t>
  </si>
  <si>
    <t>HA738830</t>
  </si>
  <si>
    <t>RT480931</t>
  </si>
  <si>
    <t>LP208817</t>
  </si>
  <si>
    <t>OT906766</t>
  </si>
  <si>
    <t>LR674402</t>
  </si>
  <si>
    <t>CQ442683</t>
  </si>
  <si>
    <t>EZ461807</t>
  </si>
  <si>
    <t>PG540431</t>
  </si>
  <si>
    <t>YN266994</t>
  </si>
  <si>
    <t>KG394994</t>
  </si>
  <si>
    <t>UO580135</t>
  </si>
  <si>
    <t>IO035719</t>
  </si>
  <si>
    <t>SE330781</t>
  </si>
  <si>
    <t>QL990081</t>
  </si>
  <si>
    <t>IW793938</t>
  </si>
  <si>
    <t>HX847361</t>
  </si>
  <si>
    <t>QT563443</t>
  </si>
  <si>
    <t>SI277949</t>
  </si>
  <si>
    <t>ED602481</t>
  </si>
  <si>
    <t>TO353951</t>
  </si>
  <si>
    <t>TJ457602</t>
  </si>
  <si>
    <t>YG070922</t>
  </si>
  <si>
    <t>TC294736</t>
  </si>
  <si>
    <t>MW375587</t>
  </si>
  <si>
    <t>RB714724</t>
  </si>
  <si>
    <t>ZW848161</t>
  </si>
  <si>
    <t>RT797373</t>
  </si>
  <si>
    <t>PV497246</t>
  </si>
  <si>
    <t>KF100142</t>
  </si>
  <si>
    <t>MA878416</t>
  </si>
  <si>
    <t>UJ932740</t>
  </si>
  <si>
    <t>XM540937</t>
  </si>
  <si>
    <t>YH896601</t>
  </si>
  <si>
    <t>JN297850</t>
  </si>
  <si>
    <t>LG165005</t>
  </si>
  <si>
    <t>CG371797</t>
  </si>
  <si>
    <t>NY055534</t>
  </si>
  <si>
    <t>TL488841</t>
  </si>
  <si>
    <t>QF800500</t>
  </si>
  <si>
    <t>UN869551</t>
  </si>
  <si>
    <t>FE290952</t>
  </si>
  <si>
    <t>GZ172320</t>
  </si>
  <si>
    <t>JL713985</t>
  </si>
  <si>
    <t>GQ439082</t>
  </si>
  <si>
    <t>LD604134</t>
  </si>
  <si>
    <t>VG214405</t>
  </si>
  <si>
    <t>ED671843</t>
  </si>
  <si>
    <t>UR807117</t>
  </si>
  <si>
    <t>CO372385</t>
  </si>
  <si>
    <t>PM593580</t>
  </si>
  <si>
    <t>VW537254</t>
  </si>
  <si>
    <t>YO564067</t>
  </si>
  <si>
    <t>GW757890</t>
  </si>
  <si>
    <t>GI391188</t>
  </si>
  <si>
    <t>OC994989</t>
  </si>
  <si>
    <t>DE756480</t>
  </si>
  <si>
    <t>VW904328</t>
  </si>
  <si>
    <t>AR181914</t>
  </si>
  <si>
    <t>GH010254</t>
  </si>
  <si>
    <t>RZ171933</t>
  </si>
  <si>
    <t>SH570579</t>
  </si>
  <si>
    <t>RT894593</t>
  </si>
  <si>
    <t>KC199293</t>
  </si>
  <si>
    <t>PJ626072</t>
  </si>
  <si>
    <t>SZ616108</t>
  </si>
  <si>
    <t>OE762289</t>
  </si>
  <si>
    <t>BQ141612</t>
  </si>
  <si>
    <t>IV974168</t>
  </si>
  <si>
    <t>BD865539</t>
  </si>
  <si>
    <t>TD244718</t>
  </si>
  <si>
    <t>MT378648</t>
  </si>
  <si>
    <t>VB968050</t>
  </si>
  <si>
    <t>LL867123</t>
  </si>
  <si>
    <t>IU706536</t>
  </si>
  <si>
    <t>RM589729</t>
  </si>
  <si>
    <t>FE208515</t>
  </si>
  <si>
    <t>XU824441</t>
  </si>
  <si>
    <t>TB155091</t>
  </si>
  <si>
    <t>HU246941</t>
  </si>
  <si>
    <t>EU722127</t>
  </si>
  <si>
    <t>VC170401</t>
  </si>
  <si>
    <t>AD655320</t>
  </si>
  <si>
    <t>ZM681805</t>
  </si>
  <si>
    <t>LC189122</t>
  </si>
  <si>
    <t>HU675612</t>
  </si>
  <si>
    <t>DG195064</t>
  </si>
  <si>
    <t>HK993842</t>
  </si>
  <si>
    <t>WE985843</t>
  </si>
  <si>
    <t>ZT154853</t>
  </si>
  <si>
    <t>OG480003</t>
  </si>
  <si>
    <t>NL520300</t>
  </si>
  <si>
    <t>JX874067</t>
  </si>
  <si>
    <t>ED032962</t>
  </si>
  <si>
    <t>AX285217</t>
  </si>
  <si>
    <t>FI717069</t>
  </si>
  <si>
    <t>ZB988535</t>
  </si>
  <si>
    <t>BJ119736</t>
  </si>
  <si>
    <t>YX449923</t>
  </si>
  <si>
    <t>CN874014</t>
  </si>
  <si>
    <t>UU683708</t>
  </si>
  <si>
    <t>UT900370</t>
  </si>
  <si>
    <t>XI574645</t>
  </si>
  <si>
    <t>TE543786</t>
  </si>
  <si>
    <t>CF437580</t>
  </si>
  <si>
    <t>LG440016</t>
  </si>
  <si>
    <t>DZ623271</t>
  </si>
  <si>
    <t>AM723672</t>
  </si>
  <si>
    <t>RO004785</t>
  </si>
  <si>
    <t>QH971118</t>
  </si>
  <si>
    <t>LA622634</t>
  </si>
  <si>
    <t>WI624183</t>
  </si>
  <si>
    <t>UR913492</t>
  </si>
  <si>
    <t>KM579791</t>
  </si>
  <si>
    <t>SC363745</t>
  </si>
  <si>
    <t>GZ565846</t>
  </si>
  <si>
    <t>HK537048</t>
  </si>
  <si>
    <t>QQ739037</t>
  </si>
  <si>
    <t>WA478604</t>
  </si>
  <si>
    <t>RW628412</t>
  </si>
  <si>
    <t>WF322192</t>
  </si>
  <si>
    <t>WV264426</t>
  </si>
  <si>
    <t>NA453368</t>
  </si>
  <si>
    <t>EW228809</t>
  </si>
  <si>
    <t>UF705825</t>
  </si>
  <si>
    <t>FL043685</t>
  </si>
  <si>
    <t>DY330268</t>
  </si>
  <si>
    <t>WT911063</t>
  </si>
  <si>
    <t>CI507793</t>
  </si>
  <si>
    <t>DC927898</t>
  </si>
  <si>
    <t>EN023498</t>
  </si>
  <si>
    <t>HG855456</t>
  </si>
  <si>
    <t>BG949429</t>
  </si>
  <si>
    <t>FS268627</t>
  </si>
  <si>
    <t>ME301011</t>
  </si>
  <si>
    <t>OZ304972</t>
  </si>
  <si>
    <t>JH299754</t>
  </si>
  <si>
    <t>NC766448</t>
  </si>
  <si>
    <t>KF370629</t>
  </si>
  <si>
    <t>YG247370</t>
  </si>
  <si>
    <t>CM010611</t>
  </si>
  <si>
    <t>WG596193</t>
  </si>
  <si>
    <t>CL311991</t>
  </si>
  <si>
    <t>NH775886</t>
  </si>
  <si>
    <t>QX562017</t>
  </si>
  <si>
    <t>TN622554</t>
  </si>
  <si>
    <t>CI009795</t>
  </si>
  <si>
    <t>MS171617</t>
  </si>
  <si>
    <t>GT125653</t>
  </si>
  <si>
    <t>WE610670</t>
  </si>
  <si>
    <t>KR079835</t>
  </si>
  <si>
    <t>SN919035</t>
  </si>
  <si>
    <t>DP246990</t>
  </si>
  <si>
    <t>LH990811</t>
  </si>
  <si>
    <t>BF289611</t>
  </si>
  <si>
    <t>CG355964</t>
  </si>
  <si>
    <t>AG154843</t>
  </si>
  <si>
    <t>EA641836</t>
  </si>
  <si>
    <t>RB554341</t>
  </si>
  <si>
    <t>GI050203</t>
  </si>
  <si>
    <t>OK338394</t>
  </si>
  <si>
    <t>KO644546</t>
  </si>
  <si>
    <t>SS135786</t>
  </si>
  <si>
    <t>ZO960533</t>
  </si>
  <si>
    <t>NN690433</t>
  </si>
  <si>
    <t>Valid_Policy</t>
  </si>
  <si>
    <t>Responsible_Team_Clean</t>
  </si>
  <si>
    <t>Complainat_Type_Clean</t>
  </si>
  <si>
    <t>Handling_Team_Clean</t>
  </si>
  <si>
    <t>Root_Cause_Clean</t>
  </si>
  <si>
    <t>Row Labels</t>
  </si>
  <si>
    <t>(blank)</t>
  </si>
  <si>
    <t>Grand Total</t>
  </si>
  <si>
    <t>Sum of Complaint_ID</t>
  </si>
  <si>
    <t>Count of Complainat_Type_Clean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</si>
</sst>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PensionComplaint.xlsx]Root_Cause_Pivot!PivotTable1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Root_Cause_Pivot!$B$3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55-4B54-A7E1-E405367AB4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55-4B54-A7E1-E405367AB4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55-4B54-A7E1-E405367AB4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55-4B54-A7E1-E405367AB42B}"/>
              </c:ext>
            </c:extLst>
          </c:dPt>
          <c:cat>
            <c:strRef>
              <c:f>Root_Cause_Pivot!$A$4:$A$8</c:f>
              <c:strCache>
                <c:ptCount val="4"/>
                <c:pt idx="1">
                  <c:v>Delayed Response</c:v>
                </c:pt>
                <c:pt idx="2">
                  <c:v>Misinformation</c:v>
                </c:pt>
                <c:pt idx="3">
                  <c:v>Poor Communication</c:v>
                </c:pt>
              </c:strCache>
            </c:strRef>
          </c:cat>
          <c:val>
            <c:numRef>
              <c:f>Root_Cause_Pivot!$B$4:$B$8</c:f>
              <c:numCache>
                <c:formatCode>General</c:formatCode>
                <c:ptCount val="4"/>
                <c:pt idx="1">
                  <c:v>4639</c:v>
                </c:pt>
                <c:pt idx="2">
                  <c:v>10629</c:v>
                </c:pt>
                <c:pt idx="3">
                  <c:v>16056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7E-4FFE-9485-301086DD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PensionComplaint.xlsx]Resp_Team!PivotTable2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Resp_Team!$B$3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Resp_Team!$A$4:$A$9</c:f>
              <c:strCache>
                <c:ptCount val="5"/>
                <c:pt idx="0">
                  <c:v>Annuity</c:v>
                </c:pt>
                <c:pt idx="1">
                  <c:v>Drawdown</c:v>
                </c:pt>
                <c:pt idx="2">
                  <c:v>Service First</c:v>
                </c:pt>
                <c:pt idx="3">
                  <c:v>Workplace Pension</c:v>
                </c:pt>
                <c:pt idx="4">
                  <c:v>(blank)</c:v>
                </c:pt>
              </c:strCache>
            </c:strRef>
          </c:cat>
          <c:val>
            <c:numRef>
              <c:f>Resp_Team!$B$4:$B$9</c:f>
              <c:numCache>
                <c:formatCode>General</c:formatCode>
                <c:ptCount val="5"/>
                <c:pt idx="0">
                  <c:v>9538</c:v>
                </c:pt>
                <c:pt idx="1">
                  <c:v>6416</c:v>
                </c:pt>
                <c:pt idx="2">
                  <c:v>7395</c:v>
                </c:pt>
                <c:pt idx="3">
                  <c:v>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1-4275-B9C5-D1E6DA5C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71560639"/>
        <c:axId val="871559391"/>
      </c:barChart>
      <c:catAx>
        <c:axId val="871560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59391"/>
        <c:crosses val="autoZero"/>
        <c:auto val="1"/>
        <c:lblAlgn val="ctr"/>
        <c:lblOffset val="100"/>
        <c:noMultiLvlLbl val="0"/>
      </c:catAx>
      <c:valAx>
        <c:axId val="871559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6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PensionComplaint.xlsx]Complainant_Type!PivotTable4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Complainant_Type!$B$3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Complainant_Type!$A$4:$A$10</c:f>
              <c:strCache>
                <c:ptCount val="6"/>
                <c:pt idx="1">
                  <c:v>Attorney</c:v>
                </c:pt>
                <c:pt idx="2">
                  <c:v>Financial Adviser</c:v>
                </c:pt>
                <c:pt idx="3">
                  <c:v>Lawyer</c:v>
                </c:pt>
                <c:pt idx="4">
                  <c:v>Policy Holder</c:v>
                </c:pt>
                <c:pt idx="5">
                  <c:v>Servicing Agent</c:v>
                </c:pt>
              </c:strCache>
            </c:strRef>
          </c:cat>
          <c:val>
            <c:numRef>
              <c:f>Complainant_Type!$B$4:$B$10</c:f>
              <c:numCache>
                <c:formatCode>General</c:formatCode>
                <c:ptCount val="6"/>
                <c:pt idx="1">
                  <c:v>6604</c:v>
                </c:pt>
                <c:pt idx="2">
                  <c:v>4607</c:v>
                </c:pt>
                <c:pt idx="3">
                  <c:v>7422</c:v>
                </c:pt>
                <c:pt idx="4">
                  <c:v>4842</c:v>
                </c:pt>
                <c:pt idx="5">
                  <c:v>7849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C-498A-9D2A-78924C7A8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644159"/>
        <c:axId val="1204641663"/>
      </c:barChart>
      <c:catAx>
        <c:axId val="120464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1663"/>
        <c:crosses val="autoZero"/>
        <c:auto val="1"/>
        <c:lblAlgn val="ctr"/>
        <c:lblOffset val="100"/>
        <c:noMultiLvlLbl val="0"/>
      </c:catAx>
      <c:valAx>
        <c:axId val="120464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4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8</xdr:row>
      <xdr:rowOff>114300</xdr:rowOff>
    </xdr:from>
    <xdr:to>
      <xdr:col>29</xdr:col>
      <xdr:colOff>107950</xdr:colOff>
      <xdr:row>23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1609F3-F129-45BF-BE89-35DE1E3DDB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6</xdr:row>
      <xdr:rowOff>171450</xdr:rowOff>
    </xdr:from>
    <xdr:to>
      <xdr:col>9</xdr:col>
      <xdr:colOff>552450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C01035-7F0D-4DC1-A01C-201581F0F4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8</xdr:row>
      <xdr:rowOff>120650</xdr:rowOff>
    </xdr:from>
    <xdr:to>
      <xdr:col>10</xdr:col>
      <xdr:colOff>241300</xdr:colOff>
      <xdr:row>23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D20E8-F13E-4DF1-90A5-765C8CFA9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5.505639814815" createdVersion="7" refreshedVersion="7" minRefreshableVersion="3" recordCount="250" xr:uid="{3A100E07-43DD-4BD9-AF87-F981ADEAEF94}">
  <cacheSource type="worksheet">
    <worksheetSource name="pension_complaints_dataset5"/>
  </cacheSource>
  <cacheFields count="11">
    <cacheField name="Complaint_ID" numFmtId="0">
      <sharedItems containsString="0" containsBlank="1" containsNumber="1" containsInteger="1" minValue="1" maxValue="250" count="25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m/>
      </sharedItems>
    </cacheField>
    <cacheField name="Policy_Number" numFmtId="0">
      <sharedItems containsBlank="1"/>
    </cacheField>
    <cacheField name="Responsible_Team" numFmtId="0">
      <sharedItems containsBlank="1" count="5">
        <s v="Service First"/>
        <s v="Workplace Pension"/>
        <s v="Drawdown"/>
        <s v="Annuity"/>
        <m/>
      </sharedItems>
    </cacheField>
    <cacheField name="Handling_Team" numFmtId="0">
      <sharedItems containsBlank="1"/>
    </cacheField>
    <cacheField name="Complainant_Type" numFmtId="0">
      <sharedItems containsBlank="1"/>
    </cacheField>
    <cacheField name="Root_Cause" numFmtId="0">
      <sharedItems containsBlank="1" count="5">
        <s v="Misinformation"/>
        <s v="Poor Communication"/>
        <s v="Delayed Response"/>
        <s v="Poor Comm"/>
        <m/>
      </sharedItems>
    </cacheField>
    <cacheField name="Valid_Policy" numFmtId="0">
      <sharedItems containsBlank="1"/>
    </cacheField>
    <cacheField name="Responsible_Team_Clean" numFmtId="0">
      <sharedItems containsBlank="1" count="5">
        <s v="Service First"/>
        <s v="Workplace Pension"/>
        <s v="Drawdown"/>
        <s v="Annuity"/>
        <m/>
      </sharedItems>
    </cacheField>
    <cacheField name="Complainat_Type_Clean" numFmtId="0">
      <sharedItems count="6">
        <s v="Policy Holder"/>
        <s v="Servicing Agent"/>
        <s v="Lawyer"/>
        <s v="Financial Adviser"/>
        <s v="Attorney"/>
        <s v=""/>
      </sharedItems>
    </cacheField>
    <cacheField name="Handling_Team_Clean" numFmtId="0">
      <sharedItems containsBlank="1" count="6">
        <s v="Service First"/>
        <s v="Drawdown"/>
        <s v="Annuity"/>
        <s v="Workplace Pension"/>
        <s v="Unknown"/>
        <m/>
      </sharedItems>
    </cacheField>
    <cacheField name="Root_Cause_Clean" numFmtId="0">
      <sharedItems count="4">
        <s v="Misinformation"/>
        <s v="Poor Communication"/>
        <s v="Delayed Response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RQ617443"/>
    <x v="0"/>
    <s v="Service First"/>
    <s v="Policy Holder"/>
    <x v="0"/>
    <s v="Valid"/>
    <x v="0"/>
    <x v="0"/>
    <x v="0"/>
    <x v="0"/>
  </r>
  <r>
    <x v="1"/>
    <s v="SG431353"/>
    <x v="0"/>
    <s v="Drawdown"/>
    <s v="Servicing Agent"/>
    <x v="1"/>
    <s v="Valid"/>
    <x v="0"/>
    <x v="1"/>
    <x v="1"/>
    <x v="1"/>
  </r>
  <r>
    <x v="2"/>
    <s v="PT935208"/>
    <x v="1"/>
    <s v="Annuity"/>
    <s v="Lawyer"/>
    <x v="1"/>
    <s v="Valid"/>
    <x v="1"/>
    <x v="2"/>
    <x v="2"/>
    <x v="1"/>
  </r>
  <r>
    <x v="3"/>
    <s v="HA671389"/>
    <x v="0"/>
    <s v="Workplace Pension"/>
    <s v="Financial Adviser"/>
    <x v="1"/>
    <s v="Valid"/>
    <x v="0"/>
    <x v="3"/>
    <x v="3"/>
    <x v="1"/>
  </r>
  <r>
    <x v="4"/>
    <s v="ND328070"/>
    <x v="0"/>
    <s v="Annuity"/>
    <s v="Policy Holder"/>
    <x v="1"/>
    <s v="Valid"/>
    <x v="0"/>
    <x v="0"/>
    <x v="2"/>
    <x v="1"/>
  </r>
  <r>
    <x v="5"/>
    <s v="12345678"/>
    <x v="0"/>
    <s v="Service First"/>
    <s v="Lawyer"/>
    <x v="1"/>
    <s v="Valid"/>
    <x v="0"/>
    <x v="2"/>
    <x v="0"/>
    <x v="1"/>
  </r>
  <r>
    <x v="6"/>
    <s v="GD959480"/>
    <x v="2"/>
    <s v="Annuity"/>
    <s v="Attorney"/>
    <x v="2"/>
    <s v="Valid"/>
    <x v="2"/>
    <x v="4"/>
    <x v="2"/>
    <x v="2"/>
  </r>
  <r>
    <x v="7"/>
    <s v="ZB589617"/>
    <x v="2"/>
    <s v="Service First"/>
    <s v="Financial Adviser"/>
    <x v="0"/>
    <s v="Valid"/>
    <x v="2"/>
    <x v="3"/>
    <x v="0"/>
    <x v="0"/>
  </r>
  <r>
    <x v="8"/>
    <s v="KG809060"/>
    <x v="0"/>
    <s v="Drawdown"/>
    <s v="Lawyer"/>
    <x v="1"/>
    <s v="Valid"/>
    <x v="0"/>
    <x v="2"/>
    <x v="1"/>
    <x v="1"/>
  </r>
  <r>
    <x v="9"/>
    <s v="PQ919081"/>
    <x v="2"/>
    <s v="Service First"/>
    <s v="Attorney"/>
    <x v="2"/>
    <s v="Valid"/>
    <x v="2"/>
    <x v="4"/>
    <x v="0"/>
    <x v="2"/>
  </r>
  <r>
    <x v="10"/>
    <s v="GN355259"/>
    <x v="0"/>
    <s v="Drawdown"/>
    <s v="Financial Adviser"/>
    <x v="1"/>
    <s v="Valid"/>
    <x v="0"/>
    <x v="3"/>
    <x v="1"/>
    <x v="1"/>
  </r>
  <r>
    <x v="11"/>
    <s v="EH502355"/>
    <x v="1"/>
    <s v="Service First"/>
    <s v="Financial Adviser"/>
    <x v="1"/>
    <s v="Valid"/>
    <x v="1"/>
    <x v="3"/>
    <x v="0"/>
    <x v="1"/>
  </r>
  <r>
    <x v="12"/>
    <s v="ZQ853579"/>
    <x v="0"/>
    <s v="Drawdown"/>
    <s v="Attorney"/>
    <x v="1"/>
    <s v="Valid"/>
    <x v="0"/>
    <x v="4"/>
    <x v="1"/>
    <x v="1"/>
  </r>
  <r>
    <x v="13"/>
    <s v="FB572895"/>
    <x v="2"/>
    <s v="Annuity"/>
    <s v="Attorney"/>
    <x v="2"/>
    <s v="Valid"/>
    <x v="2"/>
    <x v="4"/>
    <x v="2"/>
    <x v="2"/>
  </r>
  <r>
    <x v="14"/>
    <s v="DG206667"/>
    <x v="0"/>
    <s v="Service First"/>
    <s v="Attorney"/>
    <x v="2"/>
    <s v="Valid"/>
    <x v="0"/>
    <x v="4"/>
    <x v="0"/>
    <x v="2"/>
  </r>
  <r>
    <x v="15"/>
    <s v="NF370256"/>
    <x v="1"/>
    <s v="Workplace Pension"/>
    <s v="Servicing Agent"/>
    <x v="0"/>
    <s v="Valid"/>
    <x v="1"/>
    <x v="1"/>
    <x v="3"/>
    <x v="0"/>
  </r>
  <r>
    <x v="16"/>
    <s v="GD605790"/>
    <x v="3"/>
    <s v="Service First"/>
    <s v="Lawyer"/>
    <x v="1"/>
    <s v="Valid"/>
    <x v="3"/>
    <x v="2"/>
    <x v="0"/>
    <x v="1"/>
  </r>
  <r>
    <x v="17"/>
    <s v="YE587634"/>
    <x v="1"/>
    <s v="Workplace Pension"/>
    <s v="Lawyer"/>
    <x v="1"/>
    <s v="Valid"/>
    <x v="1"/>
    <x v="2"/>
    <x v="3"/>
    <x v="1"/>
  </r>
  <r>
    <x v="18"/>
    <s v="KR478981"/>
    <x v="2"/>
    <s v="Workplace Pension"/>
    <s v="Financial Adviser"/>
    <x v="2"/>
    <s v="Valid"/>
    <x v="2"/>
    <x v="3"/>
    <x v="3"/>
    <x v="2"/>
  </r>
  <r>
    <x v="19"/>
    <s v="SB000101"/>
    <x v="1"/>
    <s v="Service First"/>
    <s v="Attorney"/>
    <x v="1"/>
    <s v="Valid"/>
    <x v="1"/>
    <x v="4"/>
    <x v="0"/>
    <x v="1"/>
  </r>
  <r>
    <x v="20"/>
    <s v="DS343128"/>
    <x v="1"/>
    <s v=""/>
    <s v="Financial Adviser"/>
    <x v="1"/>
    <s v="Valid"/>
    <x v="1"/>
    <x v="3"/>
    <x v="4"/>
    <x v="1"/>
  </r>
  <r>
    <x v="21"/>
    <s v="EQ870594"/>
    <x v="0"/>
    <s v="Annuity"/>
    <s v="Lawyer"/>
    <x v="1"/>
    <s v="Valid"/>
    <x v="0"/>
    <x v="2"/>
    <x v="2"/>
    <x v="1"/>
  </r>
  <r>
    <x v="22"/>
    <s v="EA881914"/>
    <x v="1"/>
    <s v="Annuity"/>
    <s v="Policy Holder"/>
    <x v="2"/>
    <s v="Valid"/>
    <x v="1"/>
    <x v="0"/>
    <x v="2"/>
    <x v="2"/>
  </r>
  <r>
    <x v="23"/>
    <s v="AB567633"/>
    <x v="3"/>
    <s v="Workplace Pension"/>
    <s v="Financial Adviser"/>
    <x v="1"/>
    <s v="Valid"/>
    <x v="3"/>
    <x v="3"/>
    <x v="3"/>
    <x v="1"/>
  </r>
  <r>
    <x v="24"/>
    <s v="JT964839"/>
    <x v="0"/>
    <s v="Drawdown"/>
    <s v="Policy Holder"/>
    <x v="2"/>
    <s v="Valid"/>
    <x v="0"/>
    <x v="0"/>
    <x v="1"/>
    <x v="2"/>
  </r>
  <r>
    <x v="25"/>
    <s v="SU951356"/>
    <x v="2"/>
    <s v="Drawdown"/>
    <s v="Financial Adviser"/>
    <x v="1"/>
    <s v="Valid"/>
    <x v="2"/>
    <x v="3"/>
    <x v="1"/>
    <x v="1"/>
  </r>
  <r>
    <x v="26"/>
    <s v="GR149779"/>
    <x v="3"/>
    <s v="Workplace Pension"/>
    <s v="Servicing Agent"/>
    <x v="1"/>
    <s v="Valid"/>
    <x v="3"/>
    <x v="1"/>
    <x v="3"/>
    <x v="1"/>
  </r>
  <r>
    <x v="27"/>
    <s v="UH657462"/>
    <x v="3"/>
    <s v="Workplace Pension"/>
    <s v="Policy Holder"/>
    <x v="2"/>
    <s v="Valid"/>
    <x v="3"/>
    <x v="0"/>
    <x v="3"/>
    <x v="2"/>
  </r>
  <r>
    <x v="28"/>
    <s v="SM216563"/>
    <x v="1"/>
    <s v="Workplace Pension"/>
    <s v="Policy Holder"/>
    <x v="2"/>
    <s v="Valid"/>
    <x v="1"/>
    <x v="0"/>
    <x v="3"/>
    <x v="2"/>
  </r>
  <r>
    <x v="29"/>
    <s v="LE178277"/>
    <x v="1"/>
    <s v="Service First"/>
    <s v="Lawyer"/>
    <x v="1"/>
    <s v="Valid"/>
    <x v="1"/>
    <x v="2"/>
    <x v="0"/>
    <x v="1"/>
  </r>
  <r>
    <x v="30"/>
    <s v="AB041628"/>
    <x v="1"/>
    <s v="Drawdown"/>
    <s v="PolicyHolder"/>
    <x v="2"/>
    <s v="Valid"/>
    <x v="1"/>
    <x v="0"/>
    <x v="1"/>
    <x v="2"/>
  </r>
  <r>
    <x v="31"/>
    <s v="QO203829"/>
    <x v="0"/>
    <s v="Workplace Pension"/>
    <s v="Servicing Agent"/>
    <x v="2"/>
    <s v="Valid"/>
    <x v="0"/>
    <x v="1"/>
    <x v="3"/>
    <x v="2"/>
  </r>
  <r>
    <x v="32"/>
    <s v="NR298896"/>
    <x v="0"/>
    <s v="Annuity"/>
    <s v="Financial Adviser"/>
    <x v="2"/>
    <s v="Valid"/>
    <x v="0"/>
    <x v="3"/>
    <x v="2"/>
    <x v="2"/>
  </r>
  <r>
    <x v="33"/>
    <s v="XW440127"/>
    <x v="3"/>
    <s v="Workplace Pension"/>
    <s v="Lawyer"/>
    <x v="0"/>
    <s v="Valid"/>
    <x v="3"/>
    <x v="2"/>
    <x v="3"/>
    <x v="0"/>
  </r>
  <r>
    <x v="34"/>
    <s v="ZW241070"/>
    <x v="3"/>
    <s v="Service First"/>
    <s v="Financial Adviser"/>
    <x v="0"/>
    <s v="Valid"/>
    <x v="3"/>
    <x v="3"/>
    <x v="0"/>
    <x v="0"/>
  </r>
  <r>
    <x v="35"/>
    <s v="BO527999"/>
    <x v="1"/>
    <s v="Annuity"/>
    <s v="Servicing Agent"/>
    <x v="0"/>
    <s v="Valid"/>
    <x v="1"/>
    <x v="1"/>
    <x v="2"/>
    <x v="0"/>
  </r>
  <r>
    <x v="36"/>
    <s v="PM272374"/>
    <x v="3"/>
    <s v="Drawdown"/>
    <s v="Lawyer"/>
    <x v="0"/>
    <s v="Valid"/>
    <x v="3"/>
    <x v="2"/>
    <x v="1"/>
    <x v="0"/>
  </r>
  <r>
    <x v="37"/>
    <s v="AO747631"/>
    <x v="1"/>
    <s v="Workplace Pension"/>
    <s v="Financial Adviser"/>
    <x v="0"/>
    <s v="Valid"/>
    <x v="1"/>
    <x v="3"/>
    <x v="3"/>
    <x v="0"/>
  </r>
  <r>
    <x v="38"/>
    <s v="OV574249"/>
    <x v="3"/>
    <s v="Drawdown"/>
    <s v="Lawyer"/>
    <x v="2"/>
    <s v="Valid"/>
    <x v="3"/>
    <x v="2"/>
    <x v="1"/>
    <x v="2"/>
  </r>
  <r>
    <x v="39"/>
    <s v="VG970707"/>
    <x v="1"/>
    <s v="Annuity"/>
    <s v="Attorney"/>
    <x v="2"/>
    <s v="Valid"/>
    <x v="1"/>
    <x v="4"/>
    <x v="2"/>
    <x v="2"/>
  </r>
  <r>
    <x v="40"/>
    <s v="SE716954"/>
    <x v="0"/>
    <s v="Workplace Pension"/>
    <s v="Servicing Agent"/>
    <x v="3"/>
    <s v="Valid"/>
    <x v="0"/>
    <x v="1"/>
    <x v="3"/>
    <x v="1"/>
  </r>
  <r>
    <x v="41"/>
    <s v="NZ515110"/>
    <x v="2"/>
    <s v="Drawdown"/>
    <s v="Policy Holder"/>
    <x v="1"/>
    <s v="Valid"/>
    <x v="2"/>
    <x v="0"/>
    <x v="1"/>
    <x v="1"/>
  </r>
  <r>
    <x v="42"/>
    <s v="QL484067"/>
    <x v="2"/>
    <s v="Service First"/>
    <s v="Servicing Agent"/>
    <x v="0"/>
    <s v="Valid"/>
    <x v="2"/>
    <x v="1"/>
    <x v="0"/>
    <x v="0"/>
  </r>
  <r>
    <x v="43"/>
    <s v="VY731079"/>
    <x v="0"/>
    <s v="Workplace Pension"/>
    <s v="Financial Adviser"/>
    <x v="0"/>
    <s v="Valid"/>
    <x v="0"/>
    <x v="3"/>
    <x v="3"/>
    <x v="0"/>
  </r>
  <r>
    <x v="44"/>
    <s v="NP848044"/>
    <x v="3"/>
    <s v="Annuity"/>
    <s v="Policy Holder"/>
    <x v="0"/>
    <s v="Valid"/>
    <x v="3"/>
    <x v="0"/>
    <x v="2"/>
    <x v="0"/>
  </r>
  <r>
    <x v="45"/>
    <s v="YX979911"/>
    <x v="0"/>
    <s v="Drawdown"/>
    <s v="Policy Holder"/>
    <x v="1"/>
    <s v="Valid"/>
    <x v="0"/>
    <x v="0"/>
    <x v="1"/>
    <x v="1"/>
  </r>
  <r>
    <x v="46"/>
    <s v="ED237814"/>
    <x v="2"/>
    <s v="Service First"/>
    <s v="Servicing Agent"/>
    <x v="0"/>
    <s v="Valid"/>
    <x v="2"/>
    <x v="1"/>
    <x v="0"/>
    <x v="0"/>
  </r>
  <r>
    <x v="47"/>
    <s v="QF743549"/>
    <x v="2"/>
    <s v="Workplace Pension"/>
    <s v="Servicing Agent"/>
    <x v="1"/>
    <s v="Valid"/>
    <x v="2"/>
    <x v="1"/>
    <x v="3"/>
    <x v="1"/>
  </r>
  <r>
    <x v="48"/>
    <s v="ZI285724"/>
    <x v="3"/>
    <s v="Service First"/>
    <s v="Financial Adviser"/>
    <x v="1"/>
    <s v="Valid"/>
    <x v="3"/>
    <x v="3"/>
    <x v="0"/>
    <x v="1"/>
  </r>
  <r>
    <x v="49"/>
    <s v="HY433700"/>
    <x v="0"/>
    <s v="Annuity"/>
    <s v="Attorney"/>
    <x v="1"/>
    <s v="Valid"/>
    <x v="0"/>
    <x v="4"/>
    <x v="2"/>
    <x v="1"/>
  </r>
  <r>
    <x v="50"/>
    <s v="YC775114"/>
    <x v="3"/>
    <s v="Annuity"/>
    <s v="Lawyer"/>
    <x v="2"/>
    <s v="Valid"/>
    <x v="3"/>
    <x v="2"/>
    <x v="2"/>
    <x v="2"/>
  </r>
  <r>
    <x v="51"/>
    <s v="ZQ806628"/>
    <x v="1"/>
    <s v="Annuity"/>
    <s v="Servicing Agent"/>
    <x v="2"/>
    <s v="Valid"/>
    <x v="1"/>
    <x v="1"/>
    <x v="2"/>
    <x v="2"/>
  </r>
  <r>
    <x v="52"/>
    <s v="VH219906"/>
    <x v="0"/>
    <s v="Annuity"/>
    <s v="Attorney"/>
    <x v="1"/>
    <s v="Valid"/>
    <x v="0"/>
    <x v="4"/>
    <x v="2"/>
    <x v="1"/>
  </r>
  <r>
    <x v="53"/>
    <s v="WP222044"/>
    <x v="3"/>
    <s v="Annuity"/>
    <s v="Financial Adviser"/>
    <x v="0"/>
    <s v="Valid"/>
    <x v="3"/>
    <x v="3"/>
    <x v="2"/>
    <x v="0"/>
  </r>
  <r>
    <x v="54"/>
    <s v="TS215903"/>
    <x v="2"/>
    <s v="Service First"/>
    <s v="Attorney"/>
    <x v="1"/>
    <s v="Valid"/>
    <x v="2"/>
    <x v="4"/>
    <x v="0"/>
    <x v="1"/>
  </r>
  <r>
    <x v="55"/>
    <s v="PY967206"/>
    <x v="0"/>
    <s v="Annuity"/>
    <s v="Attorney"/>
    <x v="1"/>
    <s v="Valid"/>
    <x v="0"/>
    <x v="4"/>
    <x v="2"/>
    <x v="1"/>
  </r>
  <r>
    <x v="56"/>
    <s v="OL099452"/>
    <x v="2"/>
    <s v="Drawdown"/>
    <s v="Financial Adviser"/>
    <x v="0"/>
    <s v="Valid"/>
    <x v="2"/>
    <x v="3"/>
    <x v="1"/>
    <x v="0"/>
  </r>
  <r>
    <x v="57"/>
    <s v="CQ692454"/>
    <x v="0"/>
    <s v="Service First"/>
    <s v="Attorney"/>
    <x v="1"/>
    <s v="Valid"/>
    <x v="0"/>
    <x v="4"/>
    <x v="0"/>
    <x v="1"/>
  </r>
  <r>
    <x v="58"/>
    <s v="HF212886"/>
    <x v="2"/>
    <s v="Service First"/>
    <s v="Policy Holder"/>
    <x v="1"/>
    <s v="Valid"/>
    <x v="2"/>
    <x v="0"/>
    <x v="0"/>
    <x v="1"/>
  </r>
  <r>
    <x v="59"/>
    <s v="WL048337"/>
    <x v="2"/>
    <s v="Drawdown"/>
    <s v="Lawyer"/>
    <x v="1"/>
    <s v="Valid"/>
    <x v="2"/>
    <x v="2"/>
    <x v="1"/>
    <x v="1"/>
  </r>
  <r>
    <x v="60"/>
    <s v="UB496412"/>
    <x v="3"/>
    <s v="Annuity"/>
    <s v="Policy Holder"/>
    <x v="0"/>
    <s v="Valid"/>
    <x v="3"/>
    <x v="0"/>
    <x v="2"/>
    <x v="0"/>
  </r>
  <r>
    <x v="61"/>
    <s v="DI579863"/>
    <x v="2"/>
    <s v="Service First"/>
    <s v="Servicing Agent"/>
    <x v="1"/>
    <s v="Valid"/>
    <x v="2"/>
    <x v="1"/>
    <x v="0"/>
    <x v="1"/>
  </r>
  <r>
    <x v="62"/>
    <s v="GQ441736"/>
    <x v="0"/>
    <s v="Service First"/>
    <s v="Policy Holder"/>
    <x v="2"/>
    <s v="Valid"/>
    <x v="0"/>
    <x v="0"/>
    <x v="0"/>
    <x v="2"/>
  </r>
  <r>
    <x v="63"/>
    <s v="VG766810"/>
    <x v="3"/>
    <s v="Drawdown"/>
    <s v="Servicing Agent"/>
    <x v="0"/>
    <s v="Valid"/>
    <x v="3"/>
    <x v="1"/>
    <x v="1"/>
    <x v="0"/>
  </r>
  <r>
    <x v="64"/>
    <s v="OI794602"/>
    <x v="3"/>
    <s v="Annuity"/>
    <s v="Policy Holder"/>
    <x v="1"/>
    <s v="Valid"/>
    <x v="3"/>
    <x v="0"/>
    <x v="2"/>
    <x v="1"/>
  </r>
  <r>
    <x v="65"/>
    <s v="IA382014"/>
    <x v="0"/>
    <s v="Workplace Pension"/>
    <s v="Lawyer"/>
    <x v="1"/>
    <s v="Valid"/>
    <x v="0"/>
    <x v="2"/>
    <x v="3"/>
    <x v="1"/>
  </r>
  <r>
    <x v="66"/>
    <s v="BM744826"/>
    <x v="0"/>
    <s v="Annuity"/>
    <s v="Policy Holder"/>
    <x v="1"/>
    <s v="Valid"/>
    <x v="0"/>
    <x v="0"/>
    <x v="2"/>
    <x v="1"/>
  </r>
  <r>
    <x v="67"/>
    <s v="AP430688"/>
    <x v="0"/>
    <s v="Annuity"/>
    <s v="Servicing Agent"/>
    <x v="1"/>
    <s v="Valid"/>
    <x v="0"/>
    <x v="1"/>
    <x v="2"/>
    <x v="1"/>
  </r>
  <r>
    <x v="68"/>
    <s v="CP613128"/>
    <x v="3"/>
    <s v="Drawdown"/>
    <s v="Lawyer"/>
    <x v="0"/>
    <s v="Valid"/>
    <x v="3"/>
    <x v="2"/>
    <x v="1"/>
    <x v="0"/>
  </r>
  <r>
    <x v="69"/>
    <s v="RD365248"/>
    <x v="3"/>
    <s v="Workplace Pension"/>
    <s v="Financial Adviser"/>
    <x v="0"/>
    <s v="Valid"/>
    <x v="3"/>
    <x v="3"/>
    <x v="3"/>
    <x v="0"/>
  </r>
  <r>
    <x v="70"/>
    <s v="KQ083499"/>
    <x v="0"/>
    <s v="Annuity"/>
    <s v="Attorney"/>
    <x v="1"/>
    <s v="Valid"/>
    <x v="0"/>
    <x v="4"/>
    <x v="2"/>
    <x v="1"/>
  </r>
  <r>
    <x v="71"/>
    <s v="GF714325"/>
    <x v="2"/>
    <s v="Annuity"/>
    <s v="Policy Holder"/>
    <x v="1"/>
    <s v="Valid"/>
    <x v="2"/>
    <x v="0"/>
    <x v="2"/>
    <x v="1"/>
  </r>
  <r>
    <x v="72"/>
    <s v="VA260495"/>
    <x v="3"/>
    <s v="Workplace Pension"/>
    <s v="Financial Adviser"/>
    <x v="0"/>
    <s v="Valid"/>
    <x v="3"/>
    <x v="3"/>
    <x v="3"/>
    <x v="0"/>
  </r>
  <r>
    <x v="73"/>
    <s v="AK463634"/>
    <x v="3"/>
    <s v="Service First"/>
    <s v="Financial Adviser"/>
    <x v="1"/>
    <s v="Valid"/>
    <x v="3"/>
    <x v="3"/>
    <x v="0"/>
    <x v="1"/>
  </r>
  <r>
    <x v="74"/>
    <s v="NC406519"/>
    <x v="0"/>
    <s v="Drawdown"/>
    <s v="Policy Holder"/>
    <x v="1"/>
    <s v="Valid"/>
    <x v="0"/>
    <x v="0"/>
    <x v="1"/>
    <x v="1"/>
  </r>
  <r>
    <x v="75"/>
    <s v="CJ221667"/>
    <x v="2"/>
    <s v="Workplace Pension"/>
    <s v="Policy Holder"/>
    <x v="2"/>
    <s v="Valid"/>
    <x v="2"/>
    <x v="0"/>
    <x v="3"/>
    <x v="2"/>
  </r>
  <r>
    <x v="76"/>
    <s v="QL235763"/>
    <x v="3"/>
    <s v="Service First"/>
    <s v="Attorney"/>
    <x v="1"/>
    <s v="Valid"/>
    <x v="3"/>
    <x v="4"/>
    <x v="0"/>
    <x v="1"/>
  </r>
  <r>
    <x v="77"/>
    <s v="LZ720750"/>
    <x v="3"/>
    <s v="Service First"/>
    <s v="Lawyer"/>
    <x v="1"/>
    <s v="Valid"/>
    <x v="3"/>
    <x v="2"/>
    <x v="0"/>
    <x v="1"/>
  </r>
  <r>
    <x v="78"/>
    <s v="IF505062"/>
    <x v="3"/>
    <s v="Service First"/>
    <s v="Financial Adviser"/>
    <x v="1"/>
    <s v="Valid"/>
    <x v="3"/>
    <x v="3"/>
    <x v="0"/>
    <x v="1"/>
  </r>
  <r>
    <x v="79"/>
    <s v="AG509900"/>
    <x v="3"/>
    <s v="Drawdown"/>
    <s v="Lawyer"/>
    <x v="0"/>
    <s v="Valid"/>
    <x v="3"/>
    <x v="2"/>
    <x v="1"/>
    <x v="0"/>
  </r>
  <r>
    <x v="80"/>
    <s v="XF659476"/>
    <x v="0"/>
    <s v="Workplace Pension"/>
    <s v="Policy Holder"/>
    <x v="0"/>
    <s v="Valid"/>
    <x v="0"/>
    <x v="0"/>
    <x v="3"/>
    <x v="0"/>
  </r>
  <r>
    <x v="81"/>
    <s v="IJ236282"/>
    <x v="0"/>
    <s v="Workplace Pension"/>
    <s v="Policy Holder"/>
    <x v="1"/>
    <s v="Valid"/>
    <x v="0"/>
    <x v="0"/>
    <x v="3"/>
    <x v="1"/>
  </r>
  <r>
    <x v="82"/>
    <s v="OS603554"/>
    <x v="1"/>
    <s v="Annuity"/>
    <s v="Servicing Agent"/>
    <x v="2"/>
    <s v="Valid"/>
    <x v="1"/>
    <x v="1"/>
    <x v="2"/>
    <x v="2"/>
  </r>
  <r>
    <x v="83"/>
    <s v="OB672792"/>
    <x v="2"/>
    <s v="Service First"/>
    <s v="Attorney"/>
    <x v="0"/>
    <s v="Valid"/>
    <x v="2"/>
    <x v="4"/>
    <x v="0"/>
    <x v="0"/>
  </r>
  <r>
    <x v="84"/>
    <s v="NU707203"/>
    <x v="1"/>
    <s v="Workplace Pension"/>
    <s v="Servicing Agent"/>
    <x v="1"/>
    <s v="Valid"/>
    <x v="1"/>
    <x v="1"/>
    <x v="3"/>
    <x v="1"/>
  </r>
  <r>
    <x v="85"/>
    <s v="HA738830"/>
    <x v="1"/>
    <s v="Service First"/>
    <s v="Lawyer"/>
    <x v="1"/>
    <s v="Valid"/>
    <x v="1"/>
    <x v="2"/>
    <x v="0"/>
    <x v="1"/>
  </r>
  <r>
    <x v="86"/>
    <s v="RT480931"/>
    <x v="2"/>
    <s v="Drawdown"/>
    <s v="Servicing Agent"/>
    <x v="1"/>
    <s v="Valid"/>
    <x v="2"/>
    <x v="1"/>
    <x v="1"/>
    <x v="1"/>
  </r>
  <r>
    <x v="87"/>
    <s v="LP208817"/>
    <x v="1"/>
    <s v="Drawdown"/>
    <s v="Servicing Agent"/>
    <x v="1"/>
    <s v="Valid"/>
    <x v="1"/>
    <x v="1"/>
    <x v="1"/>
    <x v="1"/>
  </r>
  <r>
    <x v="88"/>
    <s v="OT906766"/>
    <x v="2"/>
    <s v="Service First"/>
    <s v="Servicing Agent"/>
    <x v="2"/>
    <s v="Valid"/>
    <x v="2"/>
    <x v="1"/>
    <x v="0"/>
    <x v="2"/>
  </r>
  <r>
    <x v="89"/>
    <s v="LR674402"/>
    <x v="1"/>
    <s v="Annuity"/>
    <s v="Servicing Agent"/>
    <x v="1"/>
    <s v="Valid"/>
    <x v="1"/>
    <x v="1"/>
    <x v="2"/>
    <x v="1"/>
  </r>
  <r>
    <x v="90"/>
    <s v="CQ442683"/>
    <x v="0"/>
    <s v="Service First"/>
    <s v="Lawyer"/>
    <x v="0"/>
    <s v="Valid"/>
    <x v="0"/>
    <x v="2"/>
    <x v="0"/>
    <x v="0"/>
  </r>
  <r>
    <x v="91"/>
    <s v="EZ461807"/>
    <x v="3"/>
    <s v="Annuity"/>
    <s v="Policy Holder"/>
    <x v="1"/>
    <s v="Valid"/>
    <x v="3"/>
    <x v="0"/>
    <x v="2"/>
    <x v="1"/>
  </r>
  <r>
    <x v="92"/>
    <s v="PG540431"/>
    <x v="2"/>
    <s v="Service First"/>
    <s v="Financial Adviser"/>
    <x v="1"/>
    <s v="Valid"/>
    <x v="2"/>
    <x v="3"/>
    <x v="0"/>
    <x v="1"/>
  </r>
  <r>
    <x v="93"/>
    <s v="YN266994"/>
    <x v="0"/>
    <s v="Annuity"/>
    <s v="Financial Adviser"/>
    <x v="2"/>
    <s v="Valid"/>
    <x v="0"/>
    <x v="3"/>
    <x v="2"/>
    <x v="2"/>
  </r>
  <r>
    <x v="94"/>
    <s v="KG394994"/>
    <x v="0"/>
    <s v="Workplace Pension"/>
    <s v="Servicing Agent"/>
    <x v="0"/>
    <s v="Valid"/>
    <x v="0"/>
    <x v="1"/>
    <x v="3"/>
    <x v="0"/>
  </r>
  <r>
    <x v="95"/>
    <s v="UO580135"/>
    <x v="2"/>
    <s v="Drawdown"/>
    <s v="Financial Adviser"/>
    <x v="1"/>
    <s v="Valid"/>
    <x v="2"/>
    <x v="3"/>
    <x v="1"/>
    <x v="1"/>
  </r>
  <r>
    <x v="96"/>
    <s v="IO035719"/>
    <x v="0"/>
    <s v="Annuity"/>
    <s v="Servicing Agent"/>
    <x v="1"/>
    <s v="Valid"/>
    <x v="0"/>
    <x v="1"/>
    <x v="2"/>
    <x v="1"/>
  </r>
  <r>
    <x v="97"/>
    <s v="SE330781"/>
    <x v="2"/>
    <s v="Annuity"/>
    <s v="Policy Holder"/>
    <x v="2"/>
    <s v="Valid"/>
    <x v="2"/>
    <x v="0"/>
    <x v="2"/>
    <x v="2"/>
  </r>
  <r>
    <x v="98"/>
    <s v="QL990081"/>
    <x v="2"/>
    <s v="Drawdown"/>
    <s v="Policy Holder"/>
    <x v="2"/>
    <s v="Valid"/>
    <x v="2"/>
    <x v="0"/>
    <x v="1"/>
    <x v="2"/>
  </r>
  <r>
    <x v="99"/>
    <s v="IW793938"/>
    <x v="2"/>
    <s v="Service First"/>
    <s v="Financial Adviser"/>
    <x v="0"/>
    <s v="Valid"/>
    <x v="2"/>
    <x v="3"/>
    <x v="0"/>
    <x v="0"/>
  </r>
  <r>
    <x v="100"/>
    <s v="HX847361"/>
    <x v="3"/>
    <s v="Service First"/>
    <s v="Attorney"/>
    <x v="2"/>
    <s v="Valid"/>
    <x v="3"/>
    <x v="4"/>
    <x v="0"/>
    <x v="2"/>
  </r>
  <r>
    <x v="101"/>
    <s v="QT563443"/>
    <x v="0"/>
    <s v="Annuity"/>
    <s v="Servicing Agent"/>
    <x v="0"/>
    <s v="Valid"/>
    <x v="0"/>
    <x v="1"/>
    <x v="2"/>
    <x v="0"/>
  </r>
  <r>
    <x v="102"/>
    <s v="SI277949"/>
    <x v="2"/>
    <s v="Drawdown"/>
    <s v="Attorney"/>
    <x v="1"/>
    <s v="Valid"/>
    <x v="2"/>
    <x v="4"/>
    <x v="1"/>
    <x v="1"/>
  </r>
  <r>
    <x v="103"/>
    <s v="ED602481"/>
    <x v="3"/>
    <s v="Service First"/>
    <s v="Lawyer"/>
    <x v="1"/>
    <s v="Valid"/>
    <x v="3"/>
    <x v="2"/>
    <x v="0"/>
    <x v="1"/>
  </r>
  <r>
    <x v="104"/>
    <s v="TO353951"/>
    <x v="2"/>
    <s v="Workplace Pension"/>
    <s v="Lawyer"/>
    <x v="1"/>
    <s v="Valid"/>
    <x v="2"/>
    <x v="2"/>
    <x v="3"/>
    <x v="1"/>
  </r>
  <r>
    <x v="105"/>
    <s v="TJ457602"/>
    <x v="1"/>
    <s v="Workplace Pension"/>
    <s v="Servicing Agent"/>
    <x v="2"/>
    <s v="Valid"/>
    <x v="1"/>
    <x v="1"/>
    <x v="3"/>
    <x v="2"/>
  </r>
  <r>
    <x v="106"/>
    <s v="YG070922"/>
    <x v="1"/>
    <s v="Workplace Pension"/>
    <s v="Attorney"/>
    <x v="1"/>
    <s v="Valid"/>
    <x v="1"/>
    <x v="4"/>
    <x v="3"/>
    <x v="1"/>
  </r>
  <r>
    <x v="107"/>
    <s v="TC294736"/>
    <x v="1"/>
    <s v="Workplace Pension"/>
    <s v="Financial Adviser"/>
    <x v="0"/>
    <s v="Valid"/>
    <x v="1"/>
    <x v="3"/>
    <x v="3"/>
    <x v="0"/>
  </r>
  <r>
    <x v="108"/>
    <s v="MW375587"/>
    <x v="1"/>
    <s v="Workplace Pension"/>
    <s v="Lawyer"/>
    <x v="1"/>
    <s v="Valid"/>
    <x v="1"/>
    <x v="2"/>
    <x v="3"/>
    <x v="1"/>
  </r>
  <r>
    <x v="109"/>
    <s v="RB714724"/>
    <x v="3"/>
    <s v="Annuity"/>
    <s v="Lawyer"/>
    <x v="2"/>
    <s v="Valid"/>
    <x v="3"/>
    <x v="2"/>
    <x v="2"/>
    <x v="2"/>
  </r>
  <r>
    <x v="110"/>
    <s v="ZW848161"/>
    <x v="0"/>
    <s v="Drawdown"/>
    <s v="Policy Holder"/>
    <x v="1"/>
    <s v="Valid"/>
    <x v="0"/>
    <x v="0"/>
    <x v="1"/>
    <x v="1"/>
  </r>
  <r>
    <x v="111"/>
    <s v="RT797373"/>
    <x v="2"/>
    <s v="Drawdown"/>
    <s v="Attorney"/>
    <x v="1"/>
    <s v="Valid"/>
    <x v="2"/>
    <x v="4"/>
    <x v="1"/>
    <x v="1"/>
  </r>
  <r>
    <x v="112"/>
    <s v="PV497246"/>
    <x v="3"/>
    <s v="Workplace Pension"/>
    <s v="Policy Holder"/>
    <x v="2"/>
    <s v="Valid"/>
    <x v="3"/>
    <x v="0"/>
    <x v="3"/>
    <x v="2"/>
  </r>
  <r>
    <x v="113"/>
    <s v="KF100142"/>
    <x v="2"/>
    <s v="Workplace Pension"/>
    <s v="Attorney"/>
    <x v="0"/>
    <s v="Valid"/>
    <x v="2"/>
    <x v="4"/>
    <x v="3"/>
    <x v="0"/>
  </r>
  <r>
    <x v="114"/>
    <s v="MA878416"/>
    <x v="3"/>
    <s v="Drawdown"/>
    <s v="Lawyer"/>
    <x v="1"/>
    <s v="Valid"/>
    <x v="3"/>
    <x v="2"/>
    <x v="1"/>
    <x v="1"/>
  </r>
  <r>
    <x v="115"/>
    <s v="UJ932740"/>
    <x v="0"/>
    <s v="Annuity"/>
    <s v="Attorney"/>
    <x v="1"/>
    <s v="Valid"/>
    <x v="0"/>
    <x v="4"/>
    <x v="2"/>
    <x v="1"/>
  </r>
  <r>
    <x v="116"/>
    <s v="XM540937"/>
    <x v="0"/>
    <s v="Service First"/>
    <s v="Lawyer"/>
    <x v="1"/>
    <s v="Valid"/>
    <x v="0"/>
    <x v="2"/>
    <x v="0"/>
    <x v="1"/>
  </r>
  <r>
    <x v="117"/>
    <s v="YH896601"/>
    <x v="1"/>
    <s v="Annuity"/>
    <s v="Lawyer"/>
    <x v="0"/>
    <s v="Valid"/>
    <x v="1"/>
    <x v="2"/>
    <x v="2"/>
    <x v="0"/>
  </r>
  <r>
    <x v="118"/>
    <s v="JN297850"/>
    <x v="3"/>
    <s v="Service First"/>
    <s v="Financial Adviser"/>
    <x v="0"/>
    <s v="Valid"/>
    <x v="3"/>
    <x v="3"/>
    <x v="0"/>
    <x v="0"/>
  </r>
  <r>
    <x v="119"/>
    <s v="LG165005"/>
    <x v="2"/>
    <s v="Service First"/>
    <s v="Lawyer"/>
    <x v="2"/>
    <s v="Valid"/>
    <x v="2"/>
    <x v="2"/>
    <x v="0"/>
    <x v="2"/>
  </r>
  <r>
    <x v="120"/>
    <s v="CG371797"/>
    <x v="0"/>
    <s v="Annuity"/>
    <s v="Servicing Agent"/>
    <x v="1"/>
    <s v="Valid"/>
    <x v="0"/>
    <x v="1"/>
    <x v="2"/>
    <x v="1"/>
  </r>
  <r>
    <x v="121"/>
    <s v="NY055534"/>
    <x v="2"/>
    <s v="Workplace Pension"/>
    <s v="Attorney"/>
    <x v="1"/>
    <s v="Valid"/>
    <x v="2"/>
    <x v="4"/>
    <x v="3"/>
    <x v="1"/>
  </r>
  <r>
    <x v="122"/>
    <s v="TL488841"/>
    <x v="2"/>
    <s v="Workplace Pension"/>
    <s v="Servicing Agent"/>
    <x v="1"/>
    <s v="Valid"/>
    <x v="2"/>
    <x v="1"/>
    <x v="3"/>
    <x v="1"/>
  </r>
  <r>
    <x v="123"/>
    <s v="QF800500"/>
    <x v="3"/>
    <s v="Service First"/>
    <s v="Lawyer"/>
    <x v="1"/>
    <s v="Valid"/>
    <x v="3"/>
    <x v="2"/>
    <x v="0"/>
    <x v="1"/>
  </r>
  <r>
    <x v="124"/>
    <s v="UN869551"/>
    <x v="3"/>
    <s v="Drawdown"/>
    <s v="Attorney"/>
    <x v="2"/>
    <s v="Valid"/>
    <x v="3"/>
    <x v="4"/>
    <x v="1"/>
    <x v="2"/>
  </r>
  <r>
    <x v="125"/>
    <s v="FE290952"/>
    <x v="3"/>
    <s v="Service First"/>
    <s v="Servicing Agent"/>
    <x v="1"/>
    <s v="Valid"/>
    <x v="3"/>
    <x v="1"/>
    <x v="0"/>
    <x v="1"/>
  </r>
  <r>
    <x v="126"/>
    <s v="GZ172320"/>
    <x v="1"/>
    <s v="Workplace Pension"/>
    <s v="Policy Holder"/>
    <x v="0"/>
    <s v="Valid"/>
    <x v="1"/>
    <x v="0"/>
    <x v="3"/>
    <x v="0"/>
  </r>
  <r>
    <x v="127"/>
    <s v="JL713985"/>
    <x v="1"/>
    <s v="Service First"/>
    <s v="Servicing Agent"/>
    <x v="0"/>
    <s v="Valid"/>
    <x v="1"/>
    <x v="1"/>
    <x v="0"/>
    <x v="0"/>
  </r>
  <r>
    <x v="128"/>
    <s v="GQ439082"/>
    <x v="0"/>
    <s v="Drawdown"/>
    <s v="Attorney"/>
    <x v="1"/>
    <s v="Valid"/>
    <x v="0"/>
    <x v="4"/>
    <x v="1"/>
    <x v="1"/>
  </r>
  <r>
    <x v="129"/>
    <s v="LD604134"/>
    <x v="3"/>
    <s v="Annuity"/>
    <s v="Attorney"/>
    <x v="1"/>
    <s v="Valid"/>
    <x v="3"/>
    <x v="4"/>
    <x v="2"/>
    <x v="1"/>
  </r>
  <r>
    <x v="130"/>
    <s v="VG214405"/>
    <x v="1"/>
    <s v="Service First"/>
    <s v="Financial Adviser"/>
    <x v="0"/>
    <s v="Valid"/>
    <x v="1"/>
    <x v="3"/>
    <x v="0"/>
    <x v="0"/>
  </r>
  <r>
    <x v="131"/>
    <s v="ED671843"/>
    <x v="3"/>
    <s v="Annuity"/>
    <s v="Policy Holder"/>
    <x v="0"/>
    <s v="Valid"/>
    <x v="3"/>
    <x v="0"/>
    <x v="2"/>
    <x v="0"/>
  </r>
  <r>
    <x v="132"/>
    <s v="UR807117"/>
    <x v="3"/>
    <s v="Service First"/>
    <s v="Policy Holder"/>
    <x v="0"/>
    <s v="Valid"/>
    <x v="3"/>
    <x v="0"/>
    <x v="0"/>
    <x v="0"/>
  </r>
  <r>
    <x v="133"/>
    <s v="CO372385"/>
    <x v="3"/>
    <s v="Workplace Pension"/>
    <s v="Attorney"/>
    <x v="1"/>
    <s v="Valid"/>
    <x v="3"/>
    <x v="4"/>
    <x v="3"/>
    <x v="1"/>
  </r>
  <r>
    <x v="134"/>
    <s v="PM593580"/>
    <x v="0"/>
    <s v="Annuity"/>
    <s v="Policy Holder"/>
    <x v="0"/>
    <s v="Valid"/>
    <x v="0"/>
    <x v="0"/>
    <x v="2"/>
    <x v="0"/>
  </r>
  <r>
    <x v="135"/>
    <s v="VW537254"/>
    <x v="3"/>
    <s v="Service First"/>
    <s v="Attorney"/>
    <x v="0"/>
    <s v="Valid"/>
    <x v="3"/>
    <x v="4"/>
    <x v="0"/>
    <x v="0"/>
  </r>
  <r>
    <x v="136"/>
    <s v="YO564067"/>
    <x v="1"/>
    <s v="Annuity"/>
    <s v="Policy Holder"/>
    <x v="1"/>
    <s v="Valid"/>
    <x v="1"/>
    <x v="0"/>
    <x v="2"/>
    <x v="1"/>
  </r>
  <r>
    <x v="137"/>
    <s v="GW757890"/>
    <x v="1"/>
    <s v="Annuity"/>
    <s v="Attorney"/>
    <x v="1"/>
    <s v="Valid"/>
    <x v="1"/>
    <x v="4"/>
    <x v="2"/>
    <x v="1"/>
  </r>
  <r>
    <x v="138"/>
    <s v="GI391188"/>
    <x v="3"/>
    <s v="Workplace Pension"/>
    <s v="Policy Holder"/>
    <x v="0"/>
    <s v="Valid"/>
    <x v="3"/>
    <x v="0"/>
    <x v="3"/>
    <x v="0"/>
  </r>
  <r>
    <x v="139"/>
    <s v="OC994989"/>
    <x v="3"/>
    <s v="Workplace Pension"/>
    <s v="Attorney"/>
    <x v="0"/>
    <s v="Valid"/>
    <x v="3"/>
    <x v="4"/>
    <x v="3"/>
    <x v="0"/>
  </r>
  <r>
    <x v="140"/>
    <s v="DE756480"/>
    <x v="2"/>
    <s v="Drawdown"/>
    <s v="Servicing Agent"/>
    <x v="0"/>
    <s v="Valid"/>
    <x v="2"/>
    <x v="1"/>
    <x v="1"/>
    <x v="0"/>
  </r>
  <r>
    <x v="141"/>
    <s v="VW904328"/>
    <x v="3"/>
    <s v="Annuity"/>
    <s v="Lawyer"/>
    <x v="2"/>
    <s v="Valid"/>
    <x v="3"/>
    <x v="2"/>
    <x v="2"/>
    <x v="2"/>
  </r>
  <r>
    <x v="142"/>
    <s v="AR181914"/>
    <x v="0"/>
    <s v="Service First"/>
    <s v="Servicing Agent"/>
    <x v="1"/>
    <s v="Valid"/>
    <x v="0"/>
    <x v="1"/>
    <x v="0"/>
    <x v="1"/>
  </r>
  <r>
    <x v="143"/>
    <s v="GH010254"/>
    <x v="2"/>
    <s v="Workplace Pension"/>
    <s v="Lawyer"/>
    <x v="2"/>
    <s v="Valid"/>
    <x v="2"/>
    <x v="2"/>
    <x v="3"/>
    <x v="2"/>
  </r>
  <r>
    <x v="144"/>
    <s v="RZ171933"/>
    <x v="2"/>
    <s v="Workplace Pension"/>
    <s v="Financial Adviser"/>
    <x v="1"/>
    <s v="Valid"/>
    <x v="2"/>
    <x v="3"/>
    <x v="3"/>
    <x v="1"/>
  </r>
  <r>
    <x v="145"/>
    <s v="SH570579"/>
    <x v="1"/>
    <s v="Annuity"/>
    <s v="Financial Adviser"/>
    <x v="1"/>
    <s v="Valid"/>
    <x v="1"/>
    <x v="3"/>
    <x v="2"/>
    <x v="1"/>
  </r>
  <r>
    <x v="146"/>
    <s v="RT894593"/>
    <x v="1"/>
    <s v="Service First"/>
    <s v="Lawyer"/>
    <x v="0"/>
    <s v="Valid"/>
    <x v="1"/>
    <x v="2"/>
    <x v="0"/>
    <x v="0"/>
  </r>
  <r>
    <x v="147"/>
    <s v="KC199293"/>
    <x v="3"/>
    <s v="Annuity"/>
    <s v="Policy Holder"/>
    <x v="1"/>
    <s v="Valid"/>
    <x v="3"/>
    <x v="0"/>
    <x v="2"/>
    <x v="1"/>
  </r>
  <r>
    <x v="148"/>
    <s v="PJ626072"/>
    <x v="0"/>
    <s v="Drawdown"/>
    <s v="Attorney"/>
    <x v="0"/>
    <s v="Valid"/>
    <x v="0"/>
    <x v="4"/>
    <x v="1"/>
    <x v="0"/>
  </r>
  <r>
    <x v="149"/>
    <s v="SZ616108"/>
    <x v="1"/>
    <s v="Service First"/>
    <s v="Attorney"/>
    <x v="1"/>
    <s v="Valid"/>
    <x v="1"/>
    <x v="4"/>
    <x v="0"/>
    <x v="1"/>
  </r>
  <r>
    <x v="150"/>
    <s v="OE762289"/>
    <x v="1"/>
    <s v="Service First"/>
    <s v="Attorney"/>
    <x v="0"/>
    <s v="Valid"/>
    <x v="1"/>
    <x v="4"/>
    <x v="0"/>
    <x v="0"/>
  </r>
  <r>
    <x v="151"/>
    <s v="BQ141612"/>
    <x v="2"/>
    <s v="Drawdown"/>
    <s v="Financial Adviser"/>
    <x v="2"/>
    <s v="Valid"/>
    <x v="2"/>
    <x v="3"/>
    <x v="1"/>
    <x v="2"/>
  </r>
  <r>
    <x v="152"/>
    <s v="IV974168"/>
    <x v="1"/>
    <s v="Drawdown"/>
    <s v="Policy Holder"/>
    <x v="1"/>
    <s v="Valid"/>
    <x v="1"/>
    <x v="0"/>
    <x v="1"/>
    <x v="1"/>
  </r>
  <r>
    <x v="153"/>
    <s v="BD865539"/>
    <x v="3"/>
    <s v="Service First"/>
    <s v="Lawyer"/>
    <x v="0"/>
    <s v="Valid"/>
    <x v="3"/>
    <x v="2"/>
    <x v="0"/>
    <x v="0"/>
  </r>
  <r>
    <x v="154"/>
    <s v="TD244718"/>
    <x v="2"/>
    <s v="Service First"/>
    <s v="Attorney"/>
    <x v="1"/>
    <s v="Valid"/>
    <x v="2"/>
    <x v="4"/>
    <x v="0"/>
    <x v="1"/>
  </r>
  <r>
    <x v="155"/>
    <s v="MT378648"/>
    <x v="1"/>
    <s v="Workplace Pension"/>
    <s v="Financial Adviser"/>
    <x v="0"/>
    <s v="Valid"/>
    <x v="1"/>
    <x v="3"/>
    <x v="3"/>
    <x v="0"/>
  </r>
  <r>
    <x v="156"/>
    <s v="VB968050"/>
    <x v="1"/>
    <s v="Workplace Pension"/>
    <s v="Servicing Agent"/>
    <x v="1"/>
    <s v="Valid"/>
    <x v="1"/>
    <x v="1"/>
    <x v="3"/>
    <x v="1"/>
  </r>
  <r>
    <x v="157"/>
    <s v="LL867123"/>
    <x v="2"/>
    <s v="Service First"/>
    <s v="Attorney"/>
    <x v="0"/>
    <s v="Valid"/>
    <x v="2"/>
    <x v="4"/>
    <x v="0"/>
    <x v="0"/>
  </r>
  <r>
    <x v="158"/>
    <s v="IU706536"/>
    <x v="3"/>
    <s v="Workplace Pension"/>
    <s v="Servicing Agent"/>
    <x v="0"/>
    <s v="Valid"/>
    <x v="3"/>
    <x v="1"/>
    <x v="3"/>
    <x v="0"/>
  </r>
  <r>
    <x v="159"/>
    <s v="RM589729"/>
    <x v="0"/>
    <s v="Workplace Pension"/>
    <s v="Policy Holder"/>
    <x v="0"/>
    <s v="Valid"/>
    <x v="0"/>
    <x v="0"/>
    <x v="3"/>
    <x v="0"/>
  </r>
  <r>
    <x v="160"/>
    <s v="FE208515"/>
    <x v="1"/>
    <s v="Service First"/>
    <s v="Lawyer"/>
    <x v="2"/>
    <s v="Valid"/>
    <x v="1"/>
    <x v="2"/>
    <x v="0"/>
    <x v="2"/>
  </r>
  <r>
    <x v="161"/>
    <s v="XU824441"/>
    <x v="2"/>
    <s v="Service First"/>
    <s v="Policy Holder"/>
    <x v="2"/>
    <s v="Valid"/>
    <x v="2"/>
    <x v="0"/>
    <x v="0"/>
    <x v="2"/>
  </r>
  <r>
    <x v="162"/>
    <s v="TB155091"/>
    <x v="1"/>
    <s v="Drawdown"/>
    <s v="Attorney"/>
    <x v="1"/>
    <s v="Valid"/>
    <x v="1"/>
    <x v="4"/>
    <x v="1"/>
    <x v="1"/>
  </r>
  <r>
    <x v="163"/>
    <s v="HU246941"/>
    <x v="0"/>
    <s v="Annuity"/>
    <s v="Attorney"/>
    <x v="0"/>
    <s v="Valid"/>
    <x v="0"/>
    <x v="4"/>
    <x v="2"/>
    <x v="0"/>
  </r>
  <r>
    <x v="164"/>
    <s v="EU722127"/>
    <x v="2"/>
    <s v="Drawdown"/>
    <s v="Financial Adviser"/>
    <x v="0"/>
    <s v="Valid"/>
    <x v="2"/>
    <x v="3"/>
    <x v="1"/>
    <x v="0"/>
  </r>
  <r>
    <x v="165"/>
    <s v="VC170401"/>
    <x v="0"/>
    <s v="Drawdown"/>
    <s v="Policy Holder"/>
    <x v="0"/>
    <s v="Valid"/>
    <x v="0"/>
    <x v="0"/>
    <x v="1"/>
    <x v="0"/>
  </r>
  <r>
    <x v="166"/>
    <s v="AD655320"/>
    <x v="0"/>
    <s v="Workplace Pension"/>
    <s v="Financial Adviser"/>
    <x v="0"/>
    <s v="Valid"/>
    <x v="0"/>
    <x v="3"/>
    <x v="3"/>
    <x v="0"/>
  </r>
  <r>
    <x v="167"/>
    <s v="ZM681805"/>
    <x v="1"/>
    <s v="Service First"/>
    <s v="Servicing Agent"/>
    <x v="0"/>
    <s v="Valid"/>
    <x v="1"/>
    <x v="1"/>
    <x v="0"/>
    <x v="0"/>
  </r>
  <r>
    <x v="168"/>
    <s v="LC189122"/>
    <x v="1"/>
    <s v="Annuity"/>
    <s v="Policy Holder"/>
    <x v="0"/>
    <s v="Valid"/>
    <x v="1"/>
    <x v="0"/>
    <x v="2"/>
    <x v="0"/>
  </r>
  <r>
    <x v="169"/>
    <s v="HU675612"/>
    <x v="0"/>
    <s v="Drawdown"/>
    <s v="Policy Holder"/>
    <x v="1"/>
    <s v="Valid"/>
    <x v="0"/>
    <x v="0"/>
    <x v="1"/>
    <x v="1"/>
  </r>
  <r>
    <x v="170"/>
    <s v="DG195064"/>
    <x v="3"/>
    <s v="Service First"/>
    <s v="Lawyer"/>
    <x v="1"/>
    <s v="Valid"/>
    <x v="3"/>
    <x v="2"/>
    <x v="0"/>
    <x v="1"/>
  </r>
  <r>
    <x v="171"/>
    <s v="HK993842"/>
    <x v="3"/>
    <s v="Service First"/>
    <s v="Attorney"/>
    <x v="0"/>
    <s v="Valid"/>
    <x v="3"/>
    <x v="4"/>
    <x v="0"/>
    <x v="0"/>
  </r>
  <r>
    <x v="172"/>
    <s v="WE985843"/>
    <x v="3"/>
    <s v="Service First"/>
    <s v="Lawyer"/>
    <x v="1"/>
    <s v="Valid"/>
    <x v="3"/>
    <x v="2"/>
    <x v="0"/>
    <x v="1"/>
  </r>
  <r>
    <x v="173"/>
    <s v="ZT154853"/>
    <x v="0"/>
    <s v="Service First"/>
    <s v="Servicing Agent"/>
    <x v="1"/>
    <s v="Valid"/>
    <x v="0"/>
    <x v="1"/>
    <x v="0"/>
    <x v="1"/>
  </r>
  <r>
    <x v="174"/>
    <s v="OG480003"/>
    <x v="1"/>
    <s v="Service First"/>
    <s v="Servicing Agent"/>
    <x v="0"/>
    <s v="Valid"/>
    <x v="1"/>
    <x v="1"/>
    <x v="0"/>
    <x v="0"/>
  </r>
  <r>
    <x v="175"/>
    <s v="NL520300"/>
    <x v="0"/>
    <s v="Drawdown"/>
    <s v="Attorney"/>
    <x v="1"/>
    <s v="Valid"/>
    <x v="0"/>
    <x v="4"/>
    <x v="1"/>
    <x v="1"/>
  </r>
  <r>
    <x v="176"/>
    <s v="JX874067"/>
    <x v="3"/>
    <s v="Workplace Pension"/>
    <s v="Policy Holder"/>
    <x v="1"/>
    <s v="Valid"/>
    <x v="3"/>
    <x v="0"/>
    <x v="3"/>
    <x v="1"/>
  </r>
  <r>
    <x v="177"/>
    <s v="ED032962"/>
    <x v="3"/>
    <s v="Annuity"/>
    <s v="Servicing Agent"/>
    <x v="0"/>
    <s v="Valid"/>
    <x v="3"/>
    <x v="1"/>
    <x v="2"/>
    <x v="0"/>
  </r>
  <r>
    <x v="178"/>
    <s v="AX285217"/>
    <x v="1"/>
    <s v="Workplace Pension"/>
    <s v="Lawyer"/>
    <x v="0"/>
    <s v="Valid"/>
    <x v="1"/>
    <x v="2"/>
    <x v="3"/>
    <x v="0"/>
  </r>
  <r>
    <x v="179"/>
    <s v="FI717069"/>
    <x v="1"/>
    <s v="Drawdown"/>
    <s v="Attorney"/>
    <x v="0"/>
    <s v="Valid"/>
    <x v="1"/>
    <x v="4"/>
    <x v="1"/>
    <x v="0"/>
  </r>
  <r>
    <x v="180"/>
    <s v="ZB988535"/>
    <x v="2"/>
    <s v="Annuity"/>
    <s v="Financial Adviser"/>
    <x v="0"/>
    <s v="Valid"/>
    <x v="2"/>
    <x v="3"/>
    <x v="2"/>
    <x v="0"/>
  </r>
  <r>
    <x v="181"/>
    <s v="BJ119736"/>
    <x v="3"/>
    <s v="Service First"/>
    <s v="Servicing Agent"/>
    <x v="1"/>
    <s v="Valid"/>
    <x v="3"/>
    <x v="1"/>
    <x v="0"/>
    <x v="1"/>
  </r>
  <r>
    <x v="182"/>
    <s v="YX449923"/>
    <x v="1"/>
    <s v="Service First"/>
    <s v="Servicing Agent"/>
    <x v="1"/>
    <s v="Valid"/>
    <x v="1"/>
    <x v="1"/>
    <x v="0"/>
    <x v="1"/>
  </r>
  <r>
    <x v="183"/>
    <s v="CN874014"/>
    <x v="2"/>
    <s v="Service First"/>
    <s v="Servicing Agent"/>
    <x v="0"/>
    <s v="Valid"/>
    <x v="2"/>
    <x v="1"/>
    <x v="0"/>
    <x v="0"/>
  </r>
  <r>
    <x v="184"/>
    <s v="UU683708"/>
    <x v="1"/>
    <s v="Service First"/>
    <s v="Servicing Agent"/>
    <x v="0"/>
    <s v="Valid"/>
    <x v="1"/>
    <x v="1"/>
    <x v="0"/>
    <x v="0"/>
  </r>
  <r>
    <x v="185"/>
    <s v="UT900370"/>
    <x v="3"/>
    <s v="Annuity"/>
    <s v="Lawyer"/>
    <x v="1"/>
    <s v="Valid"/>
    <x v="3"/>
    <x v="2"/>
    <x v="2"/>
    <x v="1"/>
  </r>
  <r>
    <x v="186"/>
    <s v="XI574645"/>
    <x v="2"/>
    <s v="Drawdown"/>
    <s v="Lawyer"/>
    <x v="1"/>
    <s v="Valid"/>
    <x v="2"/>
    <x v="2"/>
    <x v="1"/>
    <x v="1"/>
  </r>
  <r>
    <x v="187"/>
    <s v="TE543786"/>
    <x v="3"/>
    <s v="Drawdown"/>
    <s v="Servicing Agent"/>
    <x v="1"/>
    <s v="Valid"/>
    <x v="3"/>
    <x v="1"/>
    <x v="1"/>
    <x v="1"/>
  </r>
  <r>
    <x v="188"/>
    <s v="CF437580"/>
    <x v="1"/>
    <s v="Annuity"/>
    <s v="Policy Holder"/>
    <x v="0"/>
    <s v="Valid"/>
    <x v="1"/>
    <x v="0"/>
    <x v="2"/>
    <x v="0"/>
  </r>
  <r>
    <x v="189"/>
    <s v="LG440016"/>
    <x v="3"/>
    <s v="Annuity"/>
    <s v="Servicing Agent"/>
    <x v="2"/>
    <s v="Valid"/>
    <x v="3"/>
    <x v="1"/>
    <x v="2"/>
    <x v="2"/>
  </r>
  <r>
    <x v="190"/>
    <s v="DZ623271"/>
    <x v="2"/>
    <s v="Annuity"/>
    <s v="Policy Holder"/>
    <x v="0"/>
    <s v="Valid"/>
    <x v="2"/>
    <x v="0"/>
    <x v="2"/>
    <x v="0"/>
  </r>
  <r>
    <x v="191"/>
    <s v="AM723672"/>
    <x v="0"/>
    <s v="Service First"/>
    <s v="Attorney"/>
    <x v="0"/>
    <s v="Valid"/>
    <x v="0"/>
    <x v="4"/>
    <x v="0"/>
    <x v="0"/>
  </r>
  <r>
    <x v="192"/>
    <s v="RO004785"/>
    <x v="2"/>
    <s v="Workplace Pension"/>
    <s v="Servicing Agent"/>
    <x v="1"/>
    <s v="Valid"/>
    <x v="2"/>
    <x v="1"/>
    <x v="3"/>
    <x v="1"/>
  </r>
  <r>
    <x v="193"/>
    <s v="QH971118"/>
    <x v="1"/>
    <s v="Drawdown"/>
    <s v="Lawyer"/>
    <x v="1"/>
    <s v="Valid"/>
    <x v="1"/>
    <x v="2"/>
    <x v="1"/>
    <x v="1"/>
  </r>
  <r>
    <x v="194"/>
    <s v="LA622634"/>
    <x v="3"/>
    <s v="Drawdown"/>
    <s v="Policy Holder"/>
    <x v="0"/>
    <s v="Valid"/>
    <x v="3"/>
    <x v="0"/>
    <x v="1"/>
    <x v="0"/>
  </r>
  <r>
    <x v="195"/>
    <s v="WI624183"/>
    <x v="1"/>
    <s v="Drawdown"/>
    <s v="Lawyer"/>
    <x v="2"/>
    <s v="Valid"/>
    <x v="1"/>
    <x v="2"/>
    <x v="1"/>
    <x v="2"/>
  </r>
  <r>
    <x v="196"/>
    <s v="UR913492"/>
    <x v="3"/>
    <s v="Annuity"/>
    <s v="Attorney"/>
    <x v="1"/>
    <s v="Valid"/>
    <x v="3"/>
    <x v="4"/>
    <x v="2"/>
    <x v="1"/>
  </r>
  <r>
    <x v="197"/>
    <s v="KM579791"/>
    <x v="3"/>
    <s v="Annuity"/>
    <s v="Attorney"/>
    <x v="2"/>
    <s v="Valid"/>
    <x v="3"/>
    <x v="4"/>
    <x v="2"/>
    <x v="2"/>
  </r>
  <r>
    <x v="198"/>
    <s v="SC363745"/>
    <x v="0"/>
    <s v="Annuity"/>
    <s v="Lawyer"/>
    <x v="2"/>
    <s v="Valid"/>
    <x v="0"/>
    <x v="2"/>
    <x v="2"/>
    <x v="2"/>
  </r>
  <r>
    <x v="199"/>
    <s v="GZ565846"/>
    <x v="3"/>
    <s v="Workplace Pension"/>
    <s v="Lawyer"/>
    <x v="1"/>
    <s v="Valid"/>
    <x v="3"/>
    <x v="2"/>
    <x v="3"/>
    <x v="1"/>
  </r>
  <r>
    <x v="200"/>
    <s v="HK537048"/>
    <x v="2"/>
    <s v="Annuity"/>
    <s v="Financial Adviser"/>
    <x v="1"/>
    <s v="Valid"/>
    <x v="2"/>
    <x v="3"/>
    <x v="2"/>
    <x v="1"/>
  </r>
  <r>
    <x v="201"/>
    <s v="QQ739037"/>
    <x v="1"/>
    <s v="Drawdown"/>
    <s v="Lawyer"/>
    <x v="1"/>
    <s v="Valid"/>
    <x v="1"/>
    <x v="2"/>
    <x v="1"/>
    <x v="1"/>
  </r>
  <r>
    <x v="202"/>
    <s v="WA478604"/>
    <x v="3"/>
    <s v="Drawdown"/>
    <s v="Lawyer"/>
    <x v="1"/>
    <s v="Valid"/>
    <x v="3"/>
    <x v="2"/>
    <x v="1"/>
    <x v="1"/>
  </r>
  <r>
    <x v="203"/>
    <s v="RW628412"/>
    <x v="0"/>
    <s v="Annuity"/>
    <s v="Lawyer"/>
    <x v="0"/>
    <s v="Valid"/>
    <x v="0"/>
    <x v="2"/>
    <x v="2"/>
    <x v="0"/>
  </r>
  <r>
    <x v="204"/>
    <s v="WF322192"/>
    <x v="1"/>
    <s v="Drawdown"/>
    <s v="Attorney"/>
    <x v="1"/>
    <s v="Valid"/>
    <x v="1"/>
    <x v="4"/>
    <x v="1"/>
    <x v="1"/>
  </r>
  <r>
    <x v="205"/>
    <s v="WV264426"/>
    <x v="2"/>
    <s v="Workplace Pension"/>
    <s v="Financial Adviser"/>
    <x v="0"/>
    <s v="Valid"/>
    <x v="2"/>
    <x v="3"/>
    <x v="3"/>
    <x v="0"/>
  </r>
  <r>
    <x v="206"/>
    <s v="NA453368"/>
    <x v="3"/>
    <s v="Service First"/>
    <s v="Lawyer"/>
    <x v="1"/>
    <s v="Valid"/>
    <x v="3"/>
    <x v="2"/>
    <x v="0"/>
    <x v="1"/>
  </r>
  <r>
    <x v="207"/>
    <s v="EW228809"/>
    <x v="2"/>
    <s v="Annuity"/>
    <s v="Servicing Agent"/>
    <x v="0"/>
    <s v="Valid"/>
    <x v="2"/>
    <x v="1"/>
    <x v="2"/>
    <x v="0"/>
  </r>
  <r>
    <x v="208"/>
    <s v="UF705825"/>
    <x v="3"/>
    <s v="Annuity"/>
    <s v="Policy Holder"/>
    <x v="2"/>
    <s v="Valid"/>
    <x v="3"/>
    <x v="0"/>
    <x v="2"/>
    <x v="2"/>
  </r>
  <r>
    <x v="209"/>
    <s v="FL043685"/>
    <x v="1"/>
    <s v="Drawdown"/>
    <s v="Attorney"/>
    <x v="1"/>
    <s v="Valid"/>
    <x v="1"/>
    <x v="4"/>
    <x v="1"/>
    <x v="1"/>
  </r>
  <r>
    <x v="210"/>
    <s v="DY330268"/>
    <x v="0"/>
    <s v="Annuity"/>
    <s v="Financial Adviser"/>
    <x v="0"/>
    <s v="Valid"/>
    <x v="0"/>
    <x v="3"/>
    <x v="2"/>
    <x v="0"/>
  </r>
  <r>
    <x v="211"/>
    <s v="WT911063"/>
    <x v="3"/>
    <s v="Annuity"/>
    <s v="Policy Holder"/>
    <x v="1"/>
    <s v="Valid"/>
    <x v="3"/>
    <x v="0"/>
    <x v="2"/>
    <x v="1"/>
  </r>
  <r>
    <x v="212"/>
    <s v="CI507793"/>
    <x v="0"/>
    <s v="Service First"/>
    <s v="Financial Adviser"/>
    <x v="1"/>
    <s v="Valid"/>
    <x v="0"/>
    <x v="3"/>
    <x v="0"/>
    <x v="1"/>
  </r>
  <r>
    <x v="213"/>
    <s v="DC927898"/>
    <x v="2"/>
    <s v="Drawdown"/>
    <s v="Policy Holder"/>
    <x v="0"/>
    <s v="Valid"/>
    <x v="2"/>
    <x v="0"/>
    <x v="1"/>
    <x v="0"/>
  </r>
  <r>
    <x v="214"/>
    <s v="EN023498"/>
    <x v="2"/>
    <s v="Drawdown"/>
    <s v="Attorney"/>
    <x v="0"/>
    <s v="Valid"/>
    <x v="2"/>
    <x v="4"/>
    <x v="1"/>
    <x v="0"/>
  </r>
  <r>
    <x v="215"/>
    <s v="HG855456"/>
    <x v="0"/>
    <s v="Service First"/>
    <s v="Financial Adviser"/>
    <x v="2"/>
    <s v="Valid"/>
    <x v="0"/>
    <x v="3"/>
    <x v="0"/>
    <x v="2"/>
  </r>
  <r>
    <x v="216"/>
    <s v="BG949429"/>
    <x v="3"/>
    <s v="Service First"/>
    <s v="Servicing Agent"/>
    <x v="0"/>
    <s v="Valid"/>
    <x v="3"/>
    <x v="1"/>
    <x v="0"/>
    <x v="0"/>
  </r>
  <r>
    <x v="217"/>
    <s v="FS268627"/>
    <x v="2"/>
    <s v="Workplace Pension"/>
    <s v="Lawyer"/>
    <x v="0"/>
    <s v="Valid"/>
    <x v="2"/>
    <x v="2"/>
    <x v="3"/>
    <x v="0"/>
  </r>
  <r>
    <x v="218"/>
    <s v="ME301011"/>
    <x v="3"/>
    <s v="Service First"/>
    <s v="Servicing Agent"/>
    <x v="1"/>
    <s v="Valid"/>
    <x v="3"/>
    <x v="1"/>
    <x v="0"/>
    <x v="1"/>
  </r>
  <r>
    <x v="219"/>
    <s v="OZ304972"/>
    <x v="2"/>
    <s v="Service First"/>
    <s v="Attorney"/>
    <x v="2"/>
    <s v="Valid"/>
    <x v="2"/>
    <x v="4"/>
    <x v="0"/>
    <x v="2"/>
  </r>
  <r>
    <x v="220"/>
    <s v="JH299754"/>
    <x v="0"/>
    <s v="Workplace Pension"/>
    <s v="Servicing Agent"/>
    <x v="0"/>
    <s v="Valid"/>
    <x v="0"/>
    <x v="1"/>
    <x v="3"/>
    <x v="0"/>
  </r>
  <r>
    <x v="221"/>
    <s v="NC766448"/>
    <x v="3"/>
    <s v="Annuity"/>
    <s v="Servicing Agent"/>
    <x v="2"/>
    <s v="Valid"/>
    <x v="3"/>
    <x v="1"/>
    <x v="2"/>
    <x v="2"/>
  </r>
  <r>
    <x v="222"/>
    <s v="KF370629"/>
    <x v="1"/>
    <s v="Annuity"/>
    <s v="Lawyer"/>
    <x v="1"/>
    <s v="Valid"/>
    <x v="1"/>
    <x v="2"/>
    <x v="2"/>
    <x v="1"/>
  </r>
  <r>
    <x v="223"/>
    <s v="YG247370"/>
    <x v="1"/>
    <s v="Drawdown"/>
    <s v="Lawyer"/>
    <x v="0"/>
    <s v="Valid"/>
    <x v="1"/>
    <x v="2"/>
    <x v="1"/>
    <x v="0"/>
  </r>
  <r>
    <x v="224"/>
    <s v="CM010611"/>
    <x v="0"/>
    <s v="Service First"/>
    <s v="Lawyer"/>
    <x v="1"/>
    <s v="Valid"/>
    <x v="0"/>
    <x v="2"/>
    <x v="0"/>
    <x v="1"/>
  </r>
  <r>
    <x v="225"/>
    <s v="WG596193"/>
    <x v="1"/>
    <s v="Annuity"/>
    <s v="Attorney"/>
    <x v="1"/>
    <s v="Valid"/>
    <x v="1"/>
    <x v="4"/>
    <x v="2"/>
    <x v="1"/>
  </r>
  <r>
    <x v="226"/>
    <s v="CL311991"/>
    <x v="1"/>
    <s v="Annuity"/>
    <s v="Attorney"/>
    <x v="2"/>
    <s v="Valid"/>
    <x v="1"/>
    <x v="4"/>
    <x v="2"/>
    <x v="2"/>
  </r>
  <r>
    <x v="227"/>
    <s v="NH775886"/>
    <x v="3"/>
    <s v="Annuity"/>
    <s v="Lawyer"/>
    <x v="1"/>
    <s v="Valid"/>
    <x v="3"/>
    <x v="2"/>
    <x v="2"/>
    <x v="1"/>
  </r>
  <r>
    <x v="228"/>
    <s v="QX562017"/>
    <x v="0"/>
    <s v="Drawdown"/>
    <s v="Servicing Agent"/>
    <x v="1"/>
    <s v="Valid"/>
    <x v="0"/>
    <x v="1"/>
    <x v="1"/>
    <x v="1"/>
  </r>
  <r>
    <x v="229"/>
    <s v="TN622554"/>
    <x v="1"/>
    <s v="Service First"/>
    <s v="Financial Adviser"/>
    <x v="1"/>
    <s v="Valid"/>
    <x v="1"/>
    <x v="3"/>
    <x v="0"/>
    <x v="1"/>
  </r>
  <r>
    <x v="230"/>
    <s v="CI009795"/>
    <x v="0"/>
    <s v="Service First"/>
    <s v="Financial Adviser"/>
    <x v="1"/>
    <s v="Valid"/>
    <x v="0"/>
    <x v="3"/>
    <x v="0"/>
    <x v="1"/>
  </r>
  <r>
    <x v="231"/>
    <s v="MS171617"/>
    <x v="3"/>
    <s v="Workplace Pension"/>
    <s v="Lawyer"/>
    <x v="1"/>
    <s v="Valid"/>
    <x v="3"/>
    <x v="2"/>
    <x v="3"/>
    <x v="1"/>
  </r>
  <r>
    <x v="232"/>
    <s v="GT125653"/>
    <x v="0"/>
    <s v="Service First"/>
    <s v="Servicing Agent"/>
    <x v="1"/>
    <s v="Valid"/>
    <x v="0"/>
    <x v="1"/>
    <x v="0"/>
    <x v="1"/>
  </r>
  <r>
    <x v="233"/>
    <s v="WE610670"/>
    <x v="0"/>
    <s v="Service First"/>
    <s v="Attorney"/>
    <x v="1"/>
    <s v="Valid"/>
    <x v="0"/>
    <x v="4"/>
    <x v="0"/>
    <x v="1"/>
  </r>
  <r>
    <x v="234"/>
    <s v="KR079835"/>
    <x v="3"/>
    <s v="Workplace Pension"/>
    <s v="Lawyer"/>
    <x v="1"/>
    <s v="Valid"/>
    <x v="3"/>
    <x v="2"/>
    <x v="3"/>
    <x v="1"/>
  </r>
  <r>
    <x v="235"/>
    <s v="SN919035"/>
    <x v="2"/>
    <s v="Annuity"/>
    <s v="Servicing Agent"/>
    <x v="1"/>
    <s v="Valid"/>
    <x v="2"/>
    <x v="1"/>
    <x v="2"/>
    <x v="1"/>
  </r>
  <r>
    <x v="236"/>
    <s v="DP246990"/>
    <x v="0"/>
    <s v="Annuity"/>
    <s v="Servicing Agent"/>
    <x v="0"/>
    <s v="Valid"/>
    <x v="0"/>
    <x v="1"/>
    <x v="2"/>
    <x v="0"/>
  </r>
  <r>
    <x v="237"/>
    <s v="LH990811"/>
    <x v="1"/>
    <s v="Annuity"/>
    <s v="Lawyer"/>
    <x v="1"/>
    <s v="Valid"/>
    <x v="1"/>
    <x v="2"/>
    <x v="2"/>
    <x v="1"/>
  </r>
  <r>
    <x v="238"/>
    <s v="BF289611"/>
    <x v="0"/>
    <s v="Workplace Pension"/>
    <s v="Servicing Agent"/>
    <x v="1"/>
    <s v="Valid"/>
    <x v="0"/>
    <x v="1"/>
    <x v="3"/>
    <x v="1"/>
  </r>
  <r>
    <x v="239"/>
    <s v="CG355964"/>
    <x v="0"/>
    <s v="Workplace Pension"/>
    <s v="Servicing Agent"/>
    <x v="0"/>
    <s v="Valid"/>
    <x v="0"/>
    <x v="1"/>
    <x v="3"/>
    <x v="0"/>
  </r>
  <r>
    <x v="240"/>
    <s v="AG154843"/>
    <x v="1"/>
    <s v="Service First"/>
    <s v="Financial Adviser"/>
    <x v="1"/>
    <s v="Valid"/>
    <x v="1"/>
    <x v="3"/>
    <x v="0"/>
    <x v="1"/>
  </r>
  <r>
    <x v="241"/>
    <s v="EA641836"/>
    <x v="3"/>
    <s v="Workplace Pension"/>
    <s v="Attorney"/>
    <x v="1"/>
    <s v="Valid"/>
    <x v="3"/>
    <x v="4"/>
    <x v="3"/>
    <x v="1"/>
  </r>
  <r>
    <x v="242"/>
    <s v="RB554341"/>
    <x v="1"/>
    <s v="Workplace Pension"/>
    <s v="Lawyer"/>
    <x v="1"/>
    <s v="Valid"/>
    <x v="1"/>
    <x v="2"/>
    <x v="3"/>
    <x v="1"/>
  </r>
  <r>
    <x v="243"/>
    <s v="GI050203"/>
    <x v="3"/>
    <s v="Drawdown"/>
    <s v="Lawyer"/>
    <x v="1"/>
    <s v="Valid"/>
    <x v="3"/>
    <x v="2"/>
    <x v="1"/>
    <x v="1"/>
  </r>
  <r>
    <x v="244"/>
    <s v="OK338394"/>
    <x v="3"/>
    <s v="Workplace Pension"/>
    <s v="Financial Adviser"/>
    <x v="1"/>
    <s v="Valid"/>
    <x v="3"/>
    <x v="3"/>
    <x v="3"/>
    <x v="1"/>
  </r>
  <r>
    <x v="245"/>
    <s v="KO644546"/>
    <x v="2"/>
    <s v="Annuity"/>
    <s v="Servicing Agent"/>
    <x v="2"/>
    <s v="Valid"/>
    <x v="2"/>
    <x v="1"/>
    <x v="2"/>
    <x v="2"/>
  </r>
  <r>
    <x v="246"/>
    <s v="SS135786"/>
    <x v="1"/>
    <s v="Workplace Pension"/>
    <s v="Attorney"/>
    <x v="0"/>
    <s v="Valid"/>
    <x v="1"/>
    <x v="4"/>
    <x v="3"/>
    <x v="0"/>
  </r>
  <r>
    <x v="247"/>
    <s v="ZO960533"/>
    <x v="0"/>
    <s v="Drawdown"/>
    <s v="Servicing Agent"/>
    <x v="1"/>
    <s v="Valid"/>
    <x v="0"/>
    <x v="1"/>
    <x v="1"/>
    <x v="1"/>
  </r>
  <r>
    <x v="248"/>
    <s v="NN690433"/>
    <x v="3"/>
    <s v="Drawdown"/>
    <s v="Servicing Agent"/>
    <x v="1"/>
    <s v="Valid"/>
    <x v="3"/>
    <x v="1"/>
    <x v="1"/>
    <x v="1"/>
  </r>
  <r>
    <x v="249"/>
    <m/>
    <x v="4"/>
    <m/>
    <m/>
    <x v="4"/>
    <m/>
    <x v="4"/>
    <x v="5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B07C19-C75E-460B-BD47-20A92E40EDE5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8" firstHeaderRow="1" firstDataRow="1" firstDataCol="1"/>
  <pivotFields count="11">
    <pivotField dataField="1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/>
    <pivotField showAll="0"/>
    <pivotField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mplaint_ID" fld="0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522E9-AE06-41BA-A08B-C5C986DAD38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1">
    <pivotField dataField="1" showAll="0"/>
    <pivotField showAll="0"/>
    <pivotField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2"/>
        <item x="0"/>
        <item x="1"/>
        <item x="4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mplaint_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CA6FA-B30E-47CA-8135-7CADB50720E6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olHeaderCaption="Root_Cause">
  <location ref="A3:H10" firstHeaderRow="1" firstDataRow="2" firstDataCol="1"/>
  <pivotFields count="11">
    <pivotField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showAll="0">
      <items count="6">
        <item x="3"/>
        <item x="2"/>
        <item x="0"/>
        <item x="1"/>
        <item x="4"/>
        <item t="default"/>
      </items>
    </pivotField>
    <pivotField axis="axisCol" dataField="1" showAll="0">
      <items count="7">
        <item x="5"/>
        <item x="4"/>
        <item x="3"/>
        <item x="2"/>
        <item x="0"/>
        <item x="1"/>
        <item t="default"/>
      </items>
    </pivotField>
    <pivotField showAll="0">
      <items count="7">
        <item x="2"/>
        <item x="1"/>
        <item x="0"/>
        <item x="4"/>
        <item x="3"/>
        <item x="5"/>
        <item t="default"/>
      </items>
    </pivotField>
    <pivotField showAll="0">
      <items count="5">
        <item x="3"/>
        <item x="2"/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omplainat_Type_Clea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6A579-2261-47BE-8CA7-CB8CB0E62637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10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3"/>
        <item x="2"/>
        <item x="0"/>
        <item x="1"/>
        <item t="default"/>
      </items>
    </pivotField>
    <pivotField showAll="0"/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omplaint_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35B527-F87B-4D9C-A4C9-2E21F37844F7}" autoFormatId="16" applyNumberFormats="0" applyBorderFormats="0" applyFontFormats="0" applyPatternFormats="0" applyAlignmentFormats="0" applyWidthHeightFormats="0">
  <queryTableRefresh nextId="7">
    <queryTableFields count="6">
      <queryTableField id="1" name="Complaint_ID" tableColumnId="1"/>
      <queryTableField id="2" name="Policy_Number" tableColumnId="2"/>
      <queryTableField id="3" name="Responsible_Team" tableColumnId="3"/>
      <queryTableField id="4" name="Handling_Team" tableColumnId="4"/>
      <queryTableField id="5" name="Complainant_Type" tableColumnId="5"/>
      <queryTableField id="6" name="Root_Caus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839C938-5D69-4DB4-9B60-B175EC27BB94}" autoFormatId="16" applyNumberFormats="0" applyBorderFormats="0" applyFontFormats="0" applyPatternFormats="0" applyAlignmentFormats="0" applyWidthHeightFormats="0">
  <queryTableRefresh nextId="12" unboundColumnsRight="5">
    <queryTableFields count="11">
      <queryTableField id="1" name="Complaint_ID" tableColumnId="1"/>
      <queryTableField id="2" name="Policy_Number" tableColumnId="2"/>
      <queryTableField id="3" name="Responsible_Team" tableColumnId="3"/>
      <queryTableField id="4" name="Handling_Team" tableColumnId="4"/>
      <queryTableField id="5" name="Complainant_Type" tableColumnId="5"/>
      <queryTableField id="6" name="Root_Cause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BFC890-B531-4305-A8EC-59A7D932C366}" name="pension_complaints_dataset" displayName="pension_complaints_dataset" ref="A1:F251" tableType="queryTable" totalsRowShown="0">
  <autoFilter ref="A1:F251" xr:uid="{AABFC890-B531-4305-A8EC-59A7D932C366}"/>
  <tableColumns count="6">
    <tableColumn id="1" xr3:uid="{E484966B-9942-4253-B22D-7432381026A1}" uniqueName="1" name="Complaint_ID" queryTableFieldId="1"/>
    <tableColumn id="2" xr3:uid="{E6EA4E69-4B60-4830-A45F-B27C56A88702}" uniqueName="2" name="Policy_Number" queryTableFieldId="2" dataDxfId="14"/>
    <tableColumn id="3" xr3:uid="{389A027C-2C2E-48C2-A568-9E78936E940A}" uniqueName="3" name="Responsible_Team" queryTableFieldId="3" dataDxfId="13"/>
    <tableColumn id="4" xr3:uid="{9B6C3659-FF70-465A-AB16-8690848B4C68}" uniqueName="4" name="Handling_Team" queryTableFieldId="4" dataDxfId="12"/>
    <tableColumn id="5" xr3:uid="{7EB9301C-0C28-4DAF-ABF2-E5D894BD81FF}" uniqueName="5" name="Complainant_Type" queryTableFieldId="5" dataDxfId="11"/>
    <tableColumn id="6" xr3:uid="{A76D910A-7DAE-44B6-A26E-044996A9388D}" uniqueName="6" name="Root_Cause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C92722-1E8D-40E2-B1A6-53EC7545F5E3}" name="pension_complaints_dataset5" displayName="pension_complaints_dataset5" ref="A1:K251" tableType="queryTable" totalsRowShown="0">
  <autoFilter ref="A1:K251" xr:uid="{3CC92722-1E8D-40E2-B1A6-53EC7545F5E3}"/>
  <tableColumns count="11">
    <tableColumn id="1" xr3:uid="{1212F0CB-76C6-403A-9FFE-B2889F6276FB}" uniqueName="1" name="Complaint_ID" queryTableFieldId="1"/>
    <tableColumn id="2" xr3:uid="{0DB3766E-8BB4-4AD0-A5E5-672786B4B60E}" uniqueName="2" name="Policy_Number" queryTableFieldId="2" dataDxfId="9"/>
    <tableColumn id="3" xr3:uid="{9B4A23CF-9AE0-4C15-B6E6-1DBA881B153A}" uniqueName="3" name="Responsible_Team" queryTableFieldId="3" dataDxfId="8"/>
    <tableColumn id="4" xr3:uid="{5AEF32DC-4888-49EF-9600-C79D6757F385}" uniqueName="4" name="Handling_Team" queryTableFieldId="4" dataDxfId="7"/>
    <tableColumn id="5" xr3:uid="{34BE73DF-6039-4EA7-9421-EB31DA387184}" uniqueName="5" name="Complainant_Type" queryTableFieldId="5" dataDxfId="6"/>
    <tableColumn id="6" xr3:uid="{4133EFDC-0E82-4344-91A6-E8D45A3DE64C}" uniqueName="6" name="Root_Cause" queryTableFieldId="6" dataDxfId="5"/>
    <tableColumn id="7" xr3:uid="{4D11A601-C50F-4D8F-8DB0-E4F216242911}" uniqueName="7" name="Valid_Policy" queryTableFieldId="7" dataDxfId="4">
      <calculatedColumnFormula>IF(AND(LEN(B2)=8, ISNUMBER(VALUE(RIGHT(B2,6)))), "Valid", "Invalid")</calculatedColumnFormula>
    </tableColumn>
    <tableColumn id="8" xr3:uid="{F38AB960-1EED-4962-B416-90AEE9838186}" uniqueName="8" name="Responsible_Team_Clean" queryTableFieldId="8" dataDxfId="3">
      <calculatedColumnFormula>PROPER(TRIM(C2))</calculatedColumnFormula>
    </tableColumn>
    <tableColumn id="9" xr3:uid="{AFB5287B-289B-4440-804D-CD29DF7F4256}" uniqueName="9" name="Complainat_Type_Clean" queryTableFieldId="9" dataDxfId="2">
      <calculatedColumnFormula>IF(E2="PolicyHolder","Policy Holder",PROPER(TRIM(E2)))</calculatedColumnFormula>
    </tableColumn>
    <tableColumn id="10" xr3:uid="{1B3D8F53-6188-4D41-BE2F-70AEE2455EC3}" uniqueName="10" name="Handling_Team_Clean" queryTableFieldId="10" dataDxfId="1">
      <calculatedColumnFormula>IF(D2="", "Unknown", D2)</calculatedColumnFormula>
    </tableColumn>
    <tableColumn id="11" xr3:uid="{EB45266F-A7DB-4BC5-9BD5-6B7AF4006E46}" uniqueName="11" name="Root_Cause_Clean" queryTableFieldId="11" dataDxfId="0">
      <calculatedColumnFormula>IF(F2="Poor Comm","Poor Communication",PROPER(TRIM(F2)))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B765A-7008-4648-93A3-DA77B20BD523}">
  <dimension ref="A1:F251"/>
  <sheetViews>
    <sheetView topLeftCell="A14" workbookViewId="0">
      <selection activeCell="H243" sqref="H243"/>
    </sheetView>
  </sheetViews>
  <sheetFormatPr defaultRowHeight="14.5" x14ac:dyDescent="0.35"/>
  <cols>
    <col min="1" max="1" width="14.54296875" bestFit="1" customWidth="1"/>
    <col min="2" max="2" width="15.81640625" bestFit="1" customWidth="1"/>
    <col min="3" max="3" width="18.81640625" bestFit="1" customWidth="1"/>
    <col min="4" max="4" width="16.81640625" bestFit="1" customWidth="1"/>
    <col min="5" max="5" width="18.90625" bestFit="1" customWidth="1"/>
    <col min="6" max="6" width="18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 t="s">
        <v>7</v>
      </c>
      <c r="D3" t="s">
        <v>11</v>
      </c>
      <c r="E3" t="s">
        <v>12</v>
      </c>
      <c r="F3" t="s">
        <v>13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13</v>
      </c>
    </row>
    <row r="5" spans="1:6" x14ac:dyDescent="0.35">
      <c r="A5">
        <v>4</v>
      </c>
      <c r="B5" t="s">
        <v>18</v>
      </c>
      <c r="C5" t="s">
        <v>7</v>
      </c>
      <c r="D5" t="s">
        <v>15</v>
      </c>
      <c r="E5" t="s">
        <v>19</v>
      </c>
      <c r="F5" t="s">
        <v>13</v>
      </c>
    </row>
    <row r="6" spans="1:6" x14ac:dyDescent="0.35">
      <c r="A6">
        <v>5</v>
      </c>
      <c r="B6" t="s">
        <v>20</v>
      </c>
      <c r="C6" t="s">
        <v>7</v>
      </c>
      <c r="D6" t="s">
        <v>16</v>
      </c>
      <c r="E6" t="s">
        <v>8</v>
      </c>
      <c r="F6" t="s">
        <v>13</v>
      </c>
    </row>
    <row r="7" spans="1:6" x14ac:dyDescent="0.35">
      <c r="A7">
        <v>6</v>
      </c>
      <c r="B7" t="s">
        <v>21</v>
      </c>
      <c r="C7" t="s">
        <v>7</v>
      </c>
      <c r="D7" t="s">
        <v>7</v>
      </c>
      <c r="E7" t="s">
        <v>17</v>
      </c>
      <c r="F7" t="s">
        <v>13</v>
      </c>
    </row>
    <row r="8" spans="1:6" x14ac:dyDescent="0.35">
      <c r="A8">
        <v>7</v>
      </c>
      <c r="B8" t="s">
        <v>22</v>
      </c>
      <c r="C8" t="s">
        <v>11</v>
      </c>
      <c r="D8" t="s">
        <v>16</v>
      </c>
      <c r="E8" t="s">
        <v>23</v>
      </c>
      <c r="F8" t="s">
        <v>24</v>
      </c>
    </row>
    <row r="9" spans="1:6" x14ac:dyDescent="0.35">
      <c r="A9">
        <v>8</v>
      </c>
      <c r="B9" t="s">
        <v>25</v>
      </c>
      <c r="C9" t="s">
        <v>11</v>
      </c>
      <c r="D9" t="s">
        <v>7</v>
      </c>
      <c r="E9" t="s">
        <v>19</v>
      </c>
      <c r="F9" t="s">
        <v>9</v>
      </c>
    </row>
    <row r="10" spans="1:6" x14ac:dyDescent="0.35">
      <c r="A10">
        <v>9</v>
      </c>
      <c r="B10" t="s">
        <v>26</v>
      </c>
      <c r="C10" t="s">
        <v>7</v>
      </c>
      <c r="D10" t="s">
        <v>11</v>
      </c>
      <c r="E10" t="s">
        <v>17</v>
      </c>
      <c r="F10" t="s">
        <v>13</v>
      </c>
    </row>
    <row r="11" spans="1:6" x14ac:dyDescent="0.35">
      <c r="A11">
        <v>10</v>
      </c>
      <c r="B11" t="s">
        <v>27</v>
      </c>
      <c r="C11" t="s">
        <v>11</v>
      </c>
      <c r="D11" t="s">
        <v>7</v>
      </c>
      <c r="E11" t="s">
        <v>23</v>
      </c>
      <c r="F11" t="s">
        <v>24</v>
      </c>
    </row>
    <row r="12" spans="1:6" x14ac:dyDescent="0.35">
      <c r="A12">
        <v>11</v>
      </c>
      <c r="B12" t="s">
        <v>28</v>
      </c>
      <c r="C12" t="s">
        <v>29</v>
      </c>
      <c r="D12" t="s">
        <v>11</v>
      </c>
      <c r="E12" t="s">
        <v>19</v>
      </c>
      <c r="F12" t="s">
        <v>13</v>
      </c>
    </row>
    <row r="13" spans="1:6" x14ac:dyDescent="0.35">
      <c r="A13">
        <v>12</v>
      </c>
      <c r="B13" t="s">
        <v>30</v>
      </c>
      <c r="C13" t="s">
        <v>15</v>
      </c>
      <c r="D13" t="s">
        <v>7</v>
      </c>
      <c r="E13" t="s">
        <v>19</v>
      </c>
      <c r="F13" t="s">
        <v>13</v>
      </c>
    </row>
    <row r="14" spans="1:6" x14ac:dyDescent="0.35">
      <c r="A14">
        <v>13</v>
      </c>
      <c r="B14" t="s">
        <v>31</v>
      </c>
      <c r="C14" t="s">
        <v>7</v>
      </c>
      <c r="D14" t="s">
        <v>11</v>
      </c>
      <c r="E14" t="s">
        <v>23</v>
      </c>
      <c r="F14" t="s">
        <v>13</v>
      </c>
    </row>
    <row r="15" spans="1:6" x14ac:dyDescent="0.35">
      <c r="A15">
        <v>14</v>
      </c>
      <c r="B15" t="s">
        <v>32</v>
      </c>
      <c r="C15" t="s">
        <v>11</v>
      </c>
      <c r="D15" t="s">
        <v>16</v>
      </c>
      <c r="E15" t="s">
        <v>23</v>
      </c>
      <c r="F15" t="s">
        <v>24</v>
      </c>
    </row>
    <row r="16" spans="1:6" x14ac:dyDescent="0.35">
      <c r="A16">
        <v>15</v>
      </c>
      <c r="B16" t="s">
        <v>33</v>
      </c>
      <c r="C16" t="s">
        <v>7</v>
      </c>
      <c r="D16" t="s">
        <v>7</v>
      </c>
      <c r="E16" t="s">
        <v>23</v>
      </c>
      <c r="F16" t="s">
        <v>24</v>
      </c>
    </row>
    <row r="17" spans="1:6" x14ac:dyDescent="0.35">
      <c r="A17">
        <v>16</v>
      </c>
      <c r="B17" t="s">
        <v>34</v>
      </c>
      <c r="C17" t="s">
        <v>15</v>
      </c>
      <c r="D17" t="s">
        <v>15</v>
      </c>
      <c r="E17" t="s">
        <v>12</v>
      </c>
      <c r="F17" t="s">
        <v>9</v>
      </c>
    </row>
    <row r="18" spans="1:6" x14ac:dyDescent="0.35">
      <c r="A18">
        <v>17</v>
      </c>
      <c r="B18" t="s">
        <v>35</v>
      </c>
      <c r="C18" t="s">
        <v>16</v>
      </c>
      <c r="D18" t="s">
        <v>7</v>
      </c>
      <c r="E18" t="s">
        <v>17</v>
      </c>
      <c r="F18" t="s">
        <v>13</v>
      </c>
    </row>
    <row r="19" spans="1:6" x14ac:dyDescent="0.35">
      <c r="A19">
        <v>18</v>
      </c>
      <c r="B19" t="s">
        <v>36</v>
      </c>
      <c r="C19" t="s">
        <v>15</v>
      </c>
      <c r="D19" t="s">
        <v>15</v>
      </c>
      <c r="E19" t="s">
        <v>17</v>
      </c>
      <c r="F19" t="s">
        <v>13</v>
      </c>
    </row>
    <row r="20" spans="1:6" x14ac:dyDescent="0.35">
      <c r="A20">
        <v>19</v>
      </c>
      <c r="B20" t="s">
        <v>37</v>
      </c>
      <c r="C20" t="s">
        <v>11</v>
      </c>
      <c r="D20" t="s">
        <v>15</v>
      </c>
      <c r="E20" t="s">
        <v>19</v>
      </c>
      <c r="F20" t="s">
        <v>24</v>
      </c>
    </row>
    <row r="21" spans="1:6" x14ac:dyDescent="0.35">
      <c r="A21">
        <v>20</v>
      </c>
      <c r="B21" t="s">
        <v>38</v>
      </c>
      <c r="C21" t="s">
        <v>15</v>
      </c>
      <c r="D21" t="s">
        <v>7</v>
      </c>
      <c r="E21" t="s">
        <v>23</v>
      </c>
      <c r="F21" t="s">
        <v>13</v>
      </c>
    </row>
    <row r="22" spans="1:6" x14ac:dyDescent="0.35">
      <c r="A22">
        <v>21</v>
      </c>
      <c r="B22" t="s">
        <v>39</v>
      </c>
      <c r="C22" t="s">
        <v>15</v>
      </c>
      <c r="D22" t="s">
        <v>40</v>
      </c>
      <c r="E22" t="s">
        <v>19</v>
      </c>
      <c r="F22" t="s">
        <v>13</v>
      </c>
    </row>
    <row r="23" spans="1:6" x14ac:dyDescent="0.35">
      <c r="A23">
        <v>22</v>
      </c>
      <c r="B23" t="s">
        <v>41</v>
      </c>
      <c r="C23" t="s">
        <v>7</v>
      </c>
      <c r="D23" t="s">
        <v>16</v>
      </c>
      <c r="E23" t="s">
        <v>17</v>
      </c>
      <c r="F23" t="s">
        <v>13</v>
      </c>
    </row>
    <row r="24" spans="1:6" x14ac:dyDescent="0.35">
      <c r="A24">
        <v>23</v>
      </c>
      <c r="B24" t="s">
        <v>42</v>
      </c>
      <c r="C24" t="s">
        <v>15</v>
      </c>
      <c r="D24" t="s">
        <v>16</v>
      </c>
      <c r="E24" t="s">
        <v>8</v>
      </c>
      <c r="F24" t="s">
        <v>24</v>
      </c>
    </row>
    <row r="25" spans="1:6" x14ac:dyDescent="0.35">
      <c r="A25">
        <v>24</v>
      </c>
      <c r="B25" t="s">
        <v>43</v>
      </c>
      <c r="C25" t="s">
        <v>16</v>
      </c>
      <c r="D25" t="s">
        <v>15</v>
      </c>
      <c r="E25" t="s">
        <v>19</v>
      </c>
      <c r="F25" t="s">
        <v>13</v>
      </c>
    </row>
    <row r="26" spans="1:6" x14ac:dyDescent="0.35">
      <c r="A26">
        <v>25</v>
      </c>
      <c r="B26" t="s">
        <v>44</v>
      </c>
      <c r="C26" t="s">
        <v>7</v>
      </c>
      <c r="D26" t="s">
        <v>11</v>
      </c>
      <c r="E26" t="s">
        <v>8</v>
      </c>
      <c r="F26" t="s">
        <v>24</v>
      </c>
    </row>
    <row r="27" spans="1:6" x14ac:dyDescent="0.35">
      <c r="A27">
        <v>26</v>
      </c>
      <c r="B27" t="s">
        <v>45</v>
      </c>
      <c r="C27" t="s">
        <v>11</v>
      </c>
      <c r="D27" t="s">
        <v>11</v>
      </c>
      <c r="E27" t="s">
        <v>19</v>
      </c>
      <c r="F27" t="s">
        <v>13</v>
      </c>
    </row>
    <row r="28" spans="1:6" x14ac:dyDescent="0.35">
      <c r="A28">
        <v>27</v>
      </c>
      <c r="B28" t="s">
        <v>46</v>
      </c>
      <c r="C28" t="s">
        <v>16</v>
      </c>
      <c r="D28" t="s">
        <v>15</v>
      </c>
      <c r="E28" t="s">
        <v>12</v>
      </c>
      <c r="F28" t="s">
        <v>13</v>
      </c>
    </row>
    <row r="29" spans="1:6" x14ac:dyDescent="0.35">
      <c r="A29">
        <v>28</v>
      </c>
      <c r="B29" t="s">
        <v>47</v>
      </c>
      <c r="C29" t="s">
        <v>16</v>
      </c>
      <c r="D29" t="s">
        <v>15</v>
      </c>
      <c r="E29" t="s">
        <v>8</v>
      </c>
      <c r="F29" t="s">
        <v>24</v>
      </c>
    </row>
    <row r="30" spans="1:6" x14ac:dyDescent="0.35">
      <c r="A30">
        <v>29</v>
      </c>
      <c r="B30" t="s">
        <v>48</v>
      </c>
      <c r="C30" t="s">
        <v>15</v>
      </c>
      <c r="D30" t="s">
        <v>15</v>
      </c>
      <c r="E30" t="s">
        <v>8</v>
      </c>
      <c r="F30" t="s">
        <v>24</v>
      </c>
    </row>
    <row r="31" spans="1:6" x14ac:dyDescent="0.35">
      <c r="A31">
        <v>30</v>
      </c>
      <c r="B31" t="s">
        <v>49</v>
      </c>
      <c r="C31" t="s">
        <v>15</v>
      </c>
      <c r="D31" t="s">
        <v>7</v>
      </c>
      <c r="E31" t="s">
        <v>17</v>
      </c>
      <c r="F31" t="s">
        <v>13</v>
      </c>
    </row>
    <row r="32" spans="1:6" x14ac:dyDescent="0.35">
      <c r="A32">
        <v>31</v>
      </c>
      <c r="B32" t="s">
        <v>50</v>
      </c>
      <c r="C32" t="s">
        <v>15</v>
      </c>
      <c r="D32" t="s">
        <v>11</v>
      </c>
      <c r="E32" t="s">
        <v>51</v>
      </c>
      <c r="F32" t="s">
        <v>24</v>
      </c>
    </row>
    <row r="33" spans="1:6" x14ac:dyDescent="0.35">
      <c r="A33">
        <v>32</v>
      </c>
      <c r="B33" t="s">
        <v>52</v>
      </c>
      <c r="C33" t="s">
        <v>7</v>
      </c>
      <c r="D33" t="s">
        <v>15</v>
      </c>
      <c r="E33" t="s">
        <v>12</v>
      </c>
      <c r="F33" t="s">
        <v>24</v>
      </c>
    </row>
    <row r="34" spans="1:6" x14ac:dyDescent="0.35">
      <c r="A34">
        <v>33</v>
      </c>
      <c r="B34" t="s">
        <v>53</v>
      </c>
      <c r="C34" t="s">
        <v>7</v>
      </c>
      <c r="D34" t="s">
        <v>16</v>
      </c>
      <c r="E34" t="s">
        <v>19</v>
      </c>
      <c r="F34" t="s">
        <v>24</v>
      </c>
    </row>
    <row r="35" spans="1:6" x14ac:dyDescent="0.35">
      <c r="A35">
        <v>34</v>
      </c>
      <c r="B35" t="s">
        <v>54</v>
      </c>
      <c r="C35" t="s">
        <v>16</v>
      </c>
      <c r="D35" t="s">
        <v>15</v>
      </c>
      <c r="E35" t="s">
        <v>17</v>
      </c>
      <c r="F35" t="s">
        <v>9</v>
      </c>
    </row>
    <row r="36" spans="1:6" x14ac:dyDescent="0.35">
      <c r="A36">
        <v>35</v>
      </c>
      <c r="B36" t="s">
        <v>55</v>
      </c>
      <c r="C36" t="s">
        <v>16</v>
      </c>
      <c r="D36" t="s">
        <v>7</v>
      </c>
      <c r="E36" t="s">
        <v>19</v>
      </c>
      <c r="F36" t="s">
        <v>9</v>
      </c>
    </row>
    <row r="37" spans="1:6" x14ac:dyDescent="0.35">
      <c r="A37">
        <v>36</v>
      </c>
      <c r="B37" t="s">
        <v>56</v>
      </c>
      <c r="C37" t="s">
        <v>15</v>
      </c>
      <c r="D37" t="s">
        <v>16</v>
      </c>
      <c r="E37" t="s">
        <v>12</v>
      </c>
      <c r="F37" t="s">
        <v>9</v>
      </c>
    </row>
    <row r="38" spans="1:6" x14ac:dyDescent="0.35">
      <c r="A38">
        <v>37</v>
      </c>
      <c r="B38" t="s">
        <v>57</v>
      </c>
      <c r="C38" t="s">
        <v>16</v>
      </c>
      <c r="D38" t="s">
        <v>11</v>
      </c>
      <c r="E38" t="s">
        <v>17</v>
      </c>
      <c r="F38" t="s">
        <v>9</v>
      </c>
    </row>
    <row r="39" spans="1:6" x14ac:dyDescent="0.35">
      <c r="A39">
        <v>38</v>
      </c>
      <c r="B39" t="s">
        <v>58</v>
      </c>
      <c r="C39" t="s">
        <v>15</v>
      </c>
      <c r="D39" t="s">
        <v>15</v>
      </c>
      <c r="E39" t="s">
        <v>19</v>
      </c>
      <c r="F39" t="s">
        <v>9</v>
      </c>
    </row>
    <row r="40" spans="1:6" x14ac:dyDescent="0.35">
      <c r="A40">
        <v>39</v>
      </c>
      <c r="B40" t="s">
        <v>59</v>
      </c>
      <c r="C40" t="s">
        <v>16</v>
      </c>
      <c r="D40" t="s">
        <v>11</v>
      </c>
      <c r="E40" t="s">
        <v>17</v>
      </c>
      <c r="F40" t="s">
        <v>24</v>
      </c>
    </row>
    <row r="41" spans="1:6" x14ac:dyDescent="0.35">
      <c r="A41">
        <v>40</v>
      </c>
      <c r="B41" t="s">
        <v>60</v>
      </c>
      <c r="C41" t="s">
        <v>15</v>
      </c>
      <c r="D41" t="s">
        <v>16</v>
      </c>
      <c r="E41" t="s">
        <v>23</v>
      </c>
      <c r="F41" t="s">
        <v>24</v>
      </c>
    </row>
    <row r="42" spans="1:6" x14ac:dyDescent="0.35">
      <c r="A42">
        <v>41</v>
      </c>
      <c r="B42" t="s">
        <v>61</v>
      </c>
      <c r="C42" t="s">
        <v>7</v>
      </c>
      <c r="D42" t="s">
        <v>15</v>
      </c>
      <c r="E42" t="s">
        <v>12</v>
      </c>
      <c r="F42" t="s">
        <v>62</v>
      </c>
    </row>
    <row r="43" spans="1:6" x14ac:dyDescent="0.35">
      <c r="A43">
        <v>42</v>
      </c>
      <c r="B43" t="s">
        <v>63</v>
      </c>
      <c r="C43" t="s">
        <v>11</v>
      </c>
      <c r="D43" t="s">
        <v>11</v>
      </c>
      <c r="E43" t="s">
        <v>8</v>
      </c>
      <c r="F43" t="s">
        <v>13</v>
      </c>
    </row>
    <row r="44" spans="1:6" x14ac:dyDescent="0.35">
      <c r="A44">
        <v>43</v>
      </c>
      <c r="B44" t="s">
        <v>64</v>
      </c>
      <c r="C44" t="s">
        <v>11</v>
      </c>
      <c r="D44" t="s">
        <v>7</v>
      </c>
      <c r="E44" t="s">
        <v>12</v>
      </c>
      <c r="F44" t="s">
        <v>9</v>
      </c>
    </row>
    <row r="45" spans="1:6" x14ac:dyDescent="0.35">
      <c r="A45">
        <v>44</v>
      </c>
      <c r="B45" t="s">
        <v>65</v>
      </c>
      <c r="C45" t="s">
        <v>7</v>
      </c>
      <c r="D45" t="s">
        <v>15</v>
      </c>
      <c r="E45" t="s">
        <v>19</v>
      </c>
      <c r="F45" t="s">
        <v>9</v>
      </c>
    </row>
    <row r="46" spans="1:6" x14ac:dyDescent="0.35">
      <c r="A46">
        <v>45</v>
      </c>
      <c r="B46" t="s">
        <v>66</v>
      </c>
      <c r="C46" t="s">
        <v>16</v>
      </c>
      <c r="D46" t="s">
        <v>16</v>
      </c>
      <c r="E46" t="s">
        <v>8</v>
      </c>
      <c r="F46" t="s">
        <v>9</v>
      </c>
    </row>
    <row r="47" spans="1:6" x14ac:dyDescent="0.35">
      <c r="A47">
        <v>46</v>
      </c>
      <c r="B47" t="s">
        <v>67</v>
      </c>
      <c r="C47" t="s">
        <v>7</v>
      </c>
      <c r="D47" t="s">
        <v>11</v>
      </c>
      <c r="E47" t="s">
        <v>8</v>
      </c>
      <c r="F47" t="s">
        <v>13</v>
      </c>
    </row>
    <row r="48" spans="1:6" x14ac:dyDescent="0.35">
      <c r="A48">
        <v>47</v>
      </c>
      <c r="B48" t="s">
        <v>68</v>
      </c>
      <c r="C48" t="s">
        <v>11</v>
      </c>
      <c r="D48" t="s">
        <v>7</v>
      </c>
      <c r="E48" t="s">
        <v>12</v>
      </c>
      <c r="F48" t="s">
        <v>9</v>
      </c>
    </row>
    <row r="49" spans="1:6" x14ac:dyDescent="0.35">
      <c r="A49">
        <v>48</v>
      </c>
      <c r="B49" t="s">
        <v>69</v>
      </c>
      <c r="C49" t="s">
        <v>11</v>
      </c>
      <c r="D49" t="s">
        <v>15</v>
      </c>
      <c r="E49" t="s">
        <v>12</v>
      </c>
      <c r="F49" t="s">
        <v>13</v>
      </c>
    </row>
    <row r="50" spans="1:6" x14ac:dyDescent="0.35">
      <c r="A50">
        <v>49</v>
      </c>
      <c r="B50" t="s">
        <v>70</v>
      </c>
      <c r="C50" t="s">
        <v>16</v>
      </c>
      <c r="D50" t="s">
        <v>7</v>
      </c>
      <c r="E50" t="s">
        <v>19</v>
      </c>
      <c r="F50" t="s">
        <v>13</v>
      </c>
    </row>
    <row r="51" spans="1:6" x14ac:dyDescent="0.35">
      <c r="A51">
        <v>50</v>
      </c>
      <c r="B51" t="s">
        <v>71</v>
      </c>
      <c r="C51" t="s">
        <v>7</v>
      </c>
      <c r="D51" t="s">
        <v>16</v>
      </c>
      <c r="E51" t="s">
        <v>23</v>
      </c>
      <c r="F51" t="s">
        <v>13</v>
      </c>
    </row>
    <row r="52" spans="1:6" x14ac:dyDescent="0.35">
      <c r="A52">
        <v>51</v>
      </c>
      <c r="B52" t="s">
        <v>72</v>
      </c>
      <c r="C52" t="s">
        <v>15</v>
      </c>
      <c r="D52" t="s">
        <v>15</v>
      </c>
      <c r="E52" t="s">
        <v>8</v>
      </c>
      <c r="F52" t="s">
        <v>9</v>
      </c>
    </row>
    <row r="53" spans="1:6" x14ac:dyDescent="0.35">
      <c r="A53">
        <v>52</v>
      </c>
      <c r="B53" t="s">
        <v>73</v>
      </c>
      <c r="C53" t="s">
        <v>16</v>
      </c>
      <c r="D53" t="s">
        <v>16</v>
      </c>
      <c r="E53" t="s">
        <v>17</v>
      </c>
      <c r="F53" t="s">
        <v>24</v>
      </c>
    </row>
    <row r="54" spans="1:6" x14ac:dyDescent="0.35">
      <c r="A54">
        <v>53</v>
      </c>
      <c r="B54" t="s">
        <v>74</v>
      </c>
      <c r="C54" t="s">
        <v>15</v>
      </c>
      <c r="D54" t="s">
        <v>16</v>
      </c>
      <c r="E54" t="s">
        <v>12</v>
      </c>
      <c r="F54" t="s">
        <v>24</v>
      </c>
    </row>
    <row r="55" spans="1:6" x14ac:dyDescent="0.35">
      <c r="A55">
        <v>54</v>
      </c>
      <c r="B55" t="s">
        <v>75</v>
      </c>
      <c r="C55" t="s">
        <v>7</v>
      </c>
      <c r="D55" t="s">
        <v>16</v>
      </c>
      <c r="E55" t="s">
        <v>23</v>
      </c>
      <c r="F55" t="s">
        <v>13</v>
      </c>
    </row>
    <row r="56" spans="1:6" x14ac:dyDescent="0.35">
      <c r="A56">
        <v>55</v>
      </c>
      <c r="B56" t="s">
        <v>76</v>
      </c>
      <c r="C56" t="s">
        <v>16</v>
      </c>
      <c r="D56" t="s">
        <v>16</v>
      </c>
      <c r="E56" t="s">
        <v>19</v>
      </c>
      <c r="F56" t="s">
        <v>9</v>
      </c>
    </row>
    <row r="57" spans="1:6" x14ac:dyDescent="0.35">
      <c r="A57">
        <v>56</v>
      </c>
      <c r="B57" t="s">
        <v>77</v>
      </c>
      <c r="C57" t="s">
        <v>11</v>
      </c>
      <c r="D57" t="s">
        <v>7</v>
      </c>
      <c r="E57" t="s">
        <v>23</v>
      </c>
      <c r="F57" t="s">
        <v>13</v>
      </c>
    </row>
    <row r="58" spans="1:6" x14ac:dyDescent="0.35">
      <c r="A58">
        <v>57</v>
      </c>
      <c r="B58" t="s">
        <v>78</v>
      </c>
      <c r="C58" t="s">
        <v>7</v>
      </c>
      <c r="D58" t="s">
        <v>16</v>
      </c>
      <c r="E58" t="s">
        <v>23</v>
      </c>
      <c r="F58" t="s">
        <v>13</v>
      </c>
    </row>
    <row r="59" spans="1:6" x14ac:dyDescent="0.35">
      <c r="A59">
        <v>58</v>
      </c>
      <c r="B59" t="s">
        <v>79</v>
      </c>
      <c r="C59" t="s">
        <v>11</v>
      </c>
      <c r="D59" t="s">
        <v>11</v>
      </c>
      <c r="E59" t="s">
        <v>19</v>
      </c>
      <c r="F59" t="s">
        <v>9</v>
      </c>
    </row>
    <row r="60" spans="1:6" x14ac:dyDescent="0.35">
      <c r="A60">
        <v>59</v>
      </c>
      <c r="B60" t="s">
        <v>80</v>
      </c>
      <c r="C60" t="s">
        <v>7</v>
      </c>
      <c r="D60" t="s">
        <v>7</v>
      </c>
      <c r="E60" t="s">
        <v>23</v>
      </c>
      <c r="F60" t="s">
        <v>13</v>
      </c>
    </row>
    <row r="61" spans="1:6" x14ac:dyDescent="0.35">
      <c r="A61">
        <v>60</v>
      </c>
      <c r="B61" t="s">
        <v>81</v>
      </c>
      <c r="C61" t="s">
        <v>11</v>
      </c>
      <c r="D61" t="s">
        <v>7</v>
      </c>
      <c r="E61" t="s">
        <v>8</v>
      </c>
      <c r="F61" t="s">
        <v>13</v>
      </c>
    </row>
    <row r="62" spans="1:6" x14ac:dyDescent="0.35">
      <c r="A62">
        <v>61</v>
      </c>
      <c r="B62" t="s">
        <v>82</v>
      </c>
      <c r="C62" t="s">
        <v>11</v>
      </c>
      <c r="D62" t="s">
        <v>11</v>
      </c>
      <c r="E62" t="s">
        <v>17</v>
      </c>
      <c r="F62" t="s">
        <v>13</v>
      </c>
    </row>
    <row r="63" spans="1:6" x14ac:dyDescent="0.35">
      <c r="A63">
        <v>62</v>
      </c>
      <c r="B63" t="s">
        <v>83</v>
      </c>
      <c r="C63" t="s">
        <v>16</v>
      </c>
      <c r="D63" t="s">
        <v>16</v>
      </c>
      <c r="E63" t="s">
        <v>8</v>
      </c>
      <c r="F63" t="s">
        <v>9</v>
      </c>
    </row>
    <row r="64" spans="1:6" x14ac:dyDescent="0.35">
      <c r="A64">
        <v>63</v>
      </c>
      <c r="B64" t="s">
        <v>84</v>
      </c>
      <c r="C64" t="s">
        <v>11</v>
      </c>
      <c r="D64" t="s">
        <v>7</v>
      </c>
      <c r="E64" t="s">
        <v>12</v>
      </c>
      <c r="F64" t="s">
        <v>13</v>
      </c>
    </row>
    <row r="65" spans="1:6" x14ac:dyDescent="0.35">
      <c r="A65">
        <v>64</v>
      </c>
      <c r="B65" t="s">
        <v>85</v>
      </c>
      <c r="C65" t="s">
        <v>7</v>
      </c>
      <c r="D65" t="s">
        <v>7</v>
      </c>
      <c r="E65" t="s">
        <v>8</v>
      </c>
      <c r="F65" t="s">
        <v>24</v>
      </c>
    </row>
    <row r="66" spans="1:6" x14ac:dyDescent="0.35">
      <c r="A66">
        <v>65</v>
      </c>
      <c r="B66" t="s">
        <v>86</v>
      </c>
      <c r="C66" t="s">
        <v>16</v>
      </c>
      <c r="D66" t="s">
        <v>11</v>
      </c>
      <c r="E66" t="s">
        <v>12</v>
      </c>
      <c r="F66" t="s">
        <v>9</v>
      </c>
    </row>
    <row r="67" spans="1:6" x14ac:dyDescent="0.35">
      <c r="A67">
        <v>66</v>
      </c>
      <c r="B67" t="s">
        <v>87</v>
      </c>
      <c r="C67" t="s">
        <v>16</v>
      </c>
      <c r="D67" t="s">
        <v>16</v>
      </c>
      <c r="E67" t="s">
        <v>8</v>
      </c>
      <c r="F67" t="s">
        <v>13</v>
      </c>
    </row>
    <row r="68" spans="1:6" x14ac:dyDescent="0.35">
      <c r="A68">
        <v>67</v>
      </c>
      <c r="B68" t="s">
        <v>88</v>
      </c>
      <c r="C68" t="s">
        <v>7</v>
      </c>
      <c r="D68" t="s">
        <v>15</v>
      </c>
      <c r="E68" t="s">
        <v>17</v>
      </c>
      <c r="F68" t="s">
        <v>13</v>
      </c>
    </row>
    <row r="69" spans="1:6" x14ac:dyDescent="0.35">
      <c r="A69">
        <v>68</v>
      </c>
      <c r="B69" t="s">
        <v>89</v>
      </c>
      <c r="C69" t="s">
        <v>7</v>
      </c>
      <c r="D69" t="s">
        <v>16</v>
      </c>
      <c r="E69" t="s">
        <v>8</v>
      </c>
      <c r="F69" t="s">
        <v>13</v>
      </c>
    </row>
    <row r="70" spans="1:6" x14ac:dyDescent="0.35">
      <c r="A70">
        <v>69</v>
      </c>
      <c r="B70" t="s">
        <v>90</v>
      </c>
      <c r="C70" t="s">
        <v>7</v>
      </c>
      <c r="D70" t="s">
        <v>16</v>
      </c>
      <c r="E70" t="s">
        <v>12</v>
      </c>
      <c r="F70" t="s">
        <v>13</v>
      </c>
    </row>
    <row r="71" spans="1:6" x14ac:dyDescent="0.35">
      <c r="A71">
        <v>70</v>
      </c>
      <c r="B71" t="s">
        <v>91</v>
      </c>
      <c r="C71" t="s">
        <v>16</v>
      </c>
      <c r="D71" t="s">
        <v>11</v>
      </c>
      <c r="E71" t="s">
        <v>17</v>
      </c>
      <c r="F71" t="s">
        <v>9</v>
      </c>
    </row>
    <row r="72" spans="1:6" x14ac:dyDescent="0.35">
      <c r="A72">
        <v>71</v>
      </c>
      <c r="B72" t="s">
        <v>92</v>
      </c>
      <c r="C72" t="s">
        <v>16</v>
      </c>
      <c r="D72" t="s">
        <v>15</v>
      </c>
      <c r="E72" t="s">
        <v>19</v>
      </c>
      <c r="F72" t="s">
        <v>9</v>
      </c>
    </row>
    <row r="73" spans="1:6" x14ac:dyDescent="0.35">
      <c r="A73">
        <v>72</v>
      </c>
      <c r="B73" t="s">
        <v>93</v>
      </c>
      <c r="C73" t="s">
        <v>7</v>
      </c>
      <c r="D73" t="s">
        <v>16</v>
      </c>
      <c r="E73" t="s">
        <v>23</v>
      </c>
      <c r="F73" t="s">
        <v>13</v>
      </c>
    </row>
    <row r="74" spans="1:6" x14ac:dyDescent="0.35">
      <c r="A74">
        <v>73</v>
      </c>
      <c r="B74" t="s">
        <v>94</v>
      </c>
      <c r="C74" t="s">
        <v>11</v>
      </c>
      <c r="D74" t="s">
        <v>16</v>
      </c>
      <c r="E74" t="s">
        <v>8</v>
      </c>
      <c r="F74" t="s">
        <v>13</v>
      </c>
    </row>
    <row r="75" spans="1:6" x14ac:dyDescent="0.35">
      <c r="A75">
        <v>74</v>
      </c>
      <c r="B75" t="s">
        <v>95</v>
      </c>
      <c r="C75" t="s">
        <v>16</v>
      </c>
      <c r="D75" t="s">
        <v>15</v>
      </c>
      <c r="E75" t="s">
        <v>19</v>
      </c>
      <c r="F75" t="s">
        <v>9</v>
      </c>
    </row>
    <row r="76" spans="1:6" x14ac:dyDescent="0.35">
      <c r="A76">
        <v>75</v>
      </c>
      <c r="B76" t="s">
        <v>96</v>
      </c>
      <c r="C76" t="s">
        <v>16</v>
      </c>
      <c r="D76" t="s">
        <v>7</v>
      </c>
      <c r="E76" t="s">
        <v>19</v>
      </c>
      <c r="F76" t="s">
        <v>13</v>
      </c>
    </row>
    <row r="77" spans="1:6" x14ac:dyDescent="0.35">
      <c r="A77">
        <v>76</v>
      </c>
      <c r="B77" t="s">
        <v>97</v>
      </c>
      <c r="C77" t="s">
        <v>7</v>
      </c>
      <c r="D77" t="s">
        <v>11</v>
      </c>
      <c r="E77" t="s">
        <v>8</v>
      </c>
      <c r="F77" t="s">
        <v>13</v>
      </c>
    </row>
    <row r="78" spans="1:6" x14ac:dyDescent="0.35">
      <c r="A78">
        <v>77</v>
      </c>
      <c r="B78" t="s">
        <v>98</v>
      </c>
      <c r="C78" t="s">
        <v>11</v>
      </c>
      <c r="D78" t="s">
        <v>15</v>
      </c>
      <c r="E78" t="s">
        <v>8</v>
      </c>
      <c r="F78" t="s">
        <v>24</v>
      </c>
    </row>
    <row r="79" spans="1:6" x14ac:dyDescent="0.35">
      <c r="A79">
        <v>78</v>
      </c>
      <c r="B79" t="s">
        <v>99</v>
      </c>
      <c r="C79" t="s">
        <v>16</v>
      </c>
      <c r="D79" t="s">
        <v>7</v>
      </c>
      <c r="E79" t="s">
        <v>23</v>
      </c>
      <c r="F79" t="s">
        <v>13</v>
      </c>
    </row>
    <row r="80" spans="1:6" x14ac:dyDescent="0.35">
      <c r="A80">
        <v>79</v>
      </c>
      <c r="B80" t="s">
        <v>100</v>
      </c>
      <c r="C80" t="s">
        <v>16</v>
      </c>
      <c r="D80" t="s">
        <v>7</v>
      </c>
      <c r="E80" t="s">
        <v>17</v>
      </c>
      <c r="F80" t="s">
        <v>13</v>
      </c>
    </row>
    <row r="81" spans="1:6" x14ac:dyDescent="0.35">
      <c r="A81">
        <v>80</v>
      </c>
      <c r="B81" t="s">
        <v>101</v>
      </c>
      <c r="C81" t="s">
        <v>16</v>
      </c>
      <c r="D81" t="s">
        <v>7</v>
      </c>
      <c r="E81" t="s">
        <v>19</v>
      </c>
      <c r="F81" t="s">
        <v>13</v>
      </c>
    </row>
    <row r="82" spans="1:6" x14ac:dyDescent="0.35">
      <c r="A82">
        <v>81</v>
      </c>
      <c r="B82" t="s">
        <v>102</v>
      </c>
      <c r="C82" t="s">
        <v>16</v>
      </c>
      <c r="D82" t="s">
        <v>11</v>
      </c>
      <c r="E82" t="s">
        <v>17</v>
      </c>
      <c r="F82" t="s">
        <v>9</v>
      </c>
    </row>
    <row r="83" spans="1:6" x14ac:dyDescent="0.35">
      <c r="A83">
        <v>82</v>
      </c>
      <c r="B83" t="s">
        <v>103</v>
      </c>
      <c r="C83" t="s">
        <v>7</v>
      </c>
      <c r="D83" t="s">
        <v>15</v>
      </c>
      <c r="E83" t="s">
        <v>8</v>
      </c>
      <c r="F83" t="s">
        <v>9</v>
      </c>
    </row>
    <row r="84" spans="1:6" x14ac:dyDescent="0.35">
      <c r="A84">
        <v>83</v>
      </c>
      <c r="B84" t="s">
        <v>104</v>
      </c>
      <c r="C84" t="s">
        <v>7</v>
      </c>
      <c r="D84" t="s">
        <v>15</v>
      </c>
      <c r="E84" t="s">
        <v>8</v>
      </c>
      <c r="F84" t="s">
        <v>13</v>
      </c>
    </row>
    <row r="85" spans="1:6" x14ac:dyDescent="0.35">
      <c r="A85">
        <v>84</v>
      </c>
      <c r="B85" t="s">
        <v>105</v>
      </c>
      <c r="C85" t="s">
        <v>15</v>
      </c>
      <c r="D85" t="s">
        <v>16</v>
      </c>
      <c r="E85" t="s">
        <v>12</v>
      </c>
      <c r="F85" t="s">
        <v>24</v>
      </c>
    </row>
    <row r="86" spans="1:6" x14ac:dyDescent="0.35">
      <c r="A86">
        <v>85</v>
      </c>
      <c r="B86" t="s">
        <v>106</v>
      </c>
      <c r="C86" t="s">
        <v>11</v>
      </c>
      <c r="D86" t="s">
        <v>7</v>
      </c>
      <c r="E86" t="s">
        <v>23</v>
      </c>
      <c r="F86" t="s">
        <v>9</v>
      </c>
    </row>
    <row r="87" spans="1:6" x14ac:dyDescent="0.35">
      <c r="A87">
        <v>86</v>
      </c>
      <c r="B87" t="s">
        <v>107</v>
      </c>
      <c r="C87" t="s">
        <v>15</v>
      </c>
      <c r="D87" t="s">
        <v>15</v>
      </c>
      <c r="E87" t="s">
        <v>12</v>
      </c>
      <c r="F87" t="s">
        <v>13</v>
      </c>
    </row>
    <row r="88" spans="1:6" x14ac:dyDescent="0.35">
      <c r="A88">
        <v>87</v>
      </c>
      <c r="B88" t="s">
        <v>108</v>
      </c>
      <c r="C88" t="s">
        <v>15</v>
      </c>
      <c r="D88" t="s">
        <v>7</v>
      </c>
      <c r="E88" t="s">
        <v>17</v>
      </c>
      <c r="F88" t="s">
        <v>13</v>
      </c>
    </row>
    <row r="89" spans="1:6" x14ac:dyDescent="0.35">
      <c r="A89">
        <v>88</v>
      </c>
      <c r="B89" t="s">
        <v>109</v>
      </c>
      <c r="C89" t="s">
        <v>11</v>
      </c>
      <c r="D89" t="s">
        <v>11</v>
      </c>
      <c r="E89" t="s">
        <v>12</v>
      </c>
      <c r="F89" t="s">
        <v>13</v>
      </c>
    </row>
    <row r="90" spans="1:6" x14ac:dyDescent="0.35">
      <c r="A90">
        <v>89</v>
      </c>
      <c r="B90" t="s">
        <v>110</v>
      </c>
      <c r="C90" t="s">
        <v>15</v>
      </c>
      <c r="D90" t="s">
        <v>11</v>
      </c>
      <c r="E90" t="s">
        <v>12</v>
      </c>
      <c r="F90" t="s">
        <v>13</v>
      </c>
    </row>
    <row r="91" spans="1:6" x14ac:dyDescent="0.35">
      <c r="A91">
        <v>90</v>
      </c>
      <c r="B91" t="s">
        <v>111</v>
      </c>
      <c r="C91" t="s">
        <v>11</v>
      </c>
      <c r="D91" t="s">
        <v>7</v>
      </c>
      <c r="E91" t="s">
        <v>12</v>
      </c>
      <c r="F91" t="s">
        <v>24</v>
      </c>
    </row>
    <row r="92" spans="1:6" x14ac:dyDescent="0.35">
      <c r="A92">
        <v>91</v>
      </c>
      <c r="B92" t="s">
        <v>112</v>
      </c>
      <c r="C92" t="s">
        <v>15</v>
      </c>
      <c r="D92" t="s">
        <v>16</v>
      </c>
      <c r="E92" t="s">
        <v>12</v>
      </c>
      <c r="F92" t="s">
        <v>13</v>
      </c>
    </row>
    <row r="93" spans="1:6" x14ac:dyDescent="0.35">
      <c r="A93">
        <v>92</v>
      </c>
      <c r="B93" t="s">
        <v>113</v>
      </c>
      <c r="C93" t="s">
        <v>7</v>
      </c>
      <c r="D93" t="s">
        <v>7</v>
      </c>
      <c r="E93" t="s">
        <v>17</v>
      </c>
      <c r="F93" t="s">
        <v>9</v>
      </c>
    </row>
    <row r="94" spans="1:6" x14ac:dyDescent="0.35">
      <c r="A94">
        <v>93</v>
      </c>
      <c r="B94" t="s">
        <v>114</v>
      </c>
      <c r="C94" t="s">
        <v>16</v>
      </c>
      <c r="D94" t="s">
        <v>16</v>
      </c>
      <c r="E94" t="s">
        <v>8</v>
      </c>
      <c r="F94" t="s">
        <v>13</v>
      </c>
    </row>
    <row r="95" spans="1:6" x14ac:dyDescent="0.35">
      <c r="A95">
        <v>94</v>
      </c>
      <c r="B95" t="s">
        <v>115</v>
      </c>
      <c r="C95" t="s">
        <v>11</v>
      </c>
      <c r="D95" t="s">
        <v>7</v>
      </c>
      <c r="E95" t="s">
        <v>19</v>
      </c>
      <c r="F95" t="s">
        <v>13</v>
      </c>
    </row>
    <row r="96" spans="1:6" x14ac:dyDescent="0.35">
      <c r="A96">
        <v>95</v>
      </c>
      <c r="B96" t="s">
        <v>116</v>
      </c>
      <c r="C96" t="s">
        <v>7</v>
      </c>
      <c r="D96" t="s">
        <v>16</v>
      </c>
      <c r="E96" t="s">
        <v>19</v>
      </c>
      <c r="F96" t="s">
        <v>24</v>
      </c>
    </row>
    <row r="97" spans="1:6" x14ac:dyDescent="0.35">
      <c r="A97">
        <v>96</v>
      </c>
      <c r="B97" t="s">
        <v>117</v>
      </c>
      <c r="C97" t="s">
        <v>7</v>
      </c>
      <c r="D97" t="s">
        <v>15</v>
      </c>
      <c r="E97" t="s">
        <v>12</v>
      </c>
      <c r="F97" t="s">
        <v>9</v>
      </c>
    </row>
    <row r="98" spans="1:6" x14ac:dyDescent="0.35">
      <c r="A98">
        <v>97</v>
      </c>
      <c r="B98" t="s">
        <v>118</v>
      </c>
      <c r="C98" t="s">
        <v>11</v>
      </c>
      <c r="D98" t="s">
        <v>11</v>
      </c>
      <c r="E98" t="s">
        <v>19</v>
      </c>
      <c r="F98" t="s">
        <v>13</v>
      </c>
    </row>
    <row r="99" spans="1:6" x14ac:dyDescent="0.35">
      <c r="A99">
        <v>98</v>
      </c>
      <c r="B99" t="s">
        <v>119</v>
      </c>
      <c r="C99" t="s">
        <v>7</v>
      </c>
      <c r="D99" t="s">
        <v>16</v>
      </c>
      <c r="E99" t="s">
        <v>12</v>
      </c>
      <c r="F99" t="s">
        <v>13</v>
      </c>
    </row>
    <row r="100" spans="1:6" x14ac:dyDescent="0.35">
      <c r="A100">
        <v>99</v>
      </c>
      <c r="B100" t="s">
        <v>120</v>
      </c>
      <c r="C100" t="s">
        <v>11</v>
      </c>
      <c r="D100" t="s">
        <v>16</v>
      </c>
      <c r="E100" t="s">
        <v>8</v>
      </c>
      <c r="F100" t="s">
        <v>24</v>
      </c>
    </row>
    <row r="101" spans="1:6" x14ac:dyDescent="0.35">
      <c r="A101">
        <v>100</v>
      </c>
      <c r="B101" t="s">
        <v>121</v>
      </c>
      <c r="C101" t="s">
        <v>11</v>
      </c>
      <c r="D101" t="s">
        <v>11</v>
      </c>
      <c r="E101" t="s">
        <v>8</v>
      </c>
      <c r="F101" t="s">
        <v>24</v>
      </c>
    </row>
    <row r="102" spans="1:6" x14ac:dyDescent="0.35">
      <c r="A102">
        <v>101</v>
      </c>
      <c r="B102" t="s">
        <v>122</v>
      </c>
      <c r="C102" t="s">
        <v>11</v>
      </c>
      <c r="D102" t="s">
        <v>7</v>
      </c>
      <c r="E102" t="s">
        <v>19</v>
      </c>
      <c r="F102" t="s">
        <v>9</v>
      </c>
    </row>
    <row r="103" spans="1:6" x14ac:dyDescent="0.35">
      <c r="A103">
        <v>102</v>
      </c>
      <c r="B103" t="s">
        <v>123</v>
      </c>
      <c r="C103" t="s">
        <v>16</v>
      </c>
      <c r="D103" t="s">
        <v>7</v>
      </c>
      <c r="E103" t="s">
        <v>23</v>
      </c>
      <c r="F103" t="s">
        <v>24</v>
      </c>
    </row>
    <row r="104" spans="1:6" x14ac:dyDescent="0.35">
      <c r="A104">
        <v>103</v>
      </c>
      <c r="B104" t="s">
        <v>124</v>
      </c>
      <c r="C104" t="s">
        <v>7</v>
      </c>
      <c r="D104" t="s">
        <v>16</v>
      </c>
      <c r="E104" t="s">
        <v>12</v>
      </c>
      <c r="F104" t="s">
        <v>9</v>
      </c>
    </row>
    <row r="105" spans="1:6" x14ac:dyDescent="0.35">
      <c r="A105">
        <v>104</v>
      </c>
      <c r="B105" t="s">
        <v>125</v>
      </c>
      <c r="C105" t="s">
        <v>11</v>
      </c>
      <c r="D105" t="s">
        <v>11</v>
      </c>
      <c r="E105" t="s">
        <v>23</v>
      </c>
      <c r="F105" t="s">
        <v>13</v>
      </c>
    </row>
    <row r="106" spans="1:6" x14ac:dyDescent="0.35">
      <c r="A106">
        <v>105</v>
      </c>
      <c r="B106" t="s">
        <v>126</v>
      </c>
      <c r="C106" t="s">
        <v>16</v>
      </c>
      <c r="D106" t="s">
        <v>7</v>
      </c>
      <c r="E106" t="s">
        <v>17</v>
      </c>
      <c r="F106" t="s">
        <v>13</v>
      </c>
    </row>
    <row r="107" spans="1:6" x14ac:dyDescent="0.35">
      <c r="A107">
        <v>106</v>
      </c>
      <c r="B107" t="s">
        <v>127</v>
      </c>
      <c r="C107" t="s">
        <v>11</v>
      </c>
      <c r="D107" t="s">
        <v>15</v>
      </c>
      <c r="E107" t="s">
        <v>17</v>
      </c>
      <c r="F107" t="s">
        <v>13</v>
      </c>
    </row>
    <row r="108" spans="1:6" x14ac:dyDescent="0.35">
      <c r="A108">
        <v>107</v>
      </c>
      <c r="B108" t="s">
        <v>128</v>
      </c>
      <c r="C108" t="s">
        <v>15</v>
      </c>
      <c r="D108" t="s">
        <v>15</v>
      </c>
      <c r="E108" t="s">
        <v>12</v>
      </c>
      <c r="F108" t="s">
        <v>24</v>
      </c>
    </row>
    <row r="109" spans="1:6" x14ac:dyDescent="0.35">
      <c r="A109">
        <v>108</v>
      </c>
      <c r="B109" t="s">
        <v>129</v>
      </c>
      <c r="C109" t="s">
        <v>15</v>
      </c>
      <c r="D109" t="s">
        <v>15</v>
      </c>
      <c r="E109" t="s">
        <v>23</v>
      </c>
      <c r="F109" t="s">
        <v>13</v>
      </c>
    </row>
    <row r="110" spans="1:6" x14ac:dyDescent="0.35">
      <c r="A110">
        <v>109</v>
      </c>
      <c r="B110" t="s">
        <v>130</v>
      </c>
      <c r="C110" t="s">
        <v>15</v>
      </c>
      <c r="D110" t="s">
        <v>15</v>
      </c>
      <c r="E110" t="s">
        <v>19</v>
      </c>
      <c r="F110" t="s">
        <v>9</v>
      </c>
    </row>
    <row r="111" spans="1:6" x14ac:dyDescent="0.35">
      <c r="A111">
        <v>110</v>
      </c>
      <c r="B111" t="s">
        <v>131</v>
      </c>
      <c r="C111" t="s">
        <v>15</v>
      </c>
      <c r="D111" t="s">
        <v>15</v>
      </c>
      <c r="E111" t="s">
        <v>17</v>
      </c>
      <c r="F111" t="s">
        <v>13</v>
      </c>
    </row>
    <row r="112" spans="1:6" x14ac:dyDescent="0.35">
      <c r="A112">
        <v>111</v>
      </c>
      <c r="B112" t="s">
        <v>132</v>
      </c>
      <c r="C112" t="s">
        <v>16</v>
      </c>
      <c r="D112" t="s">
        <v>16</v>
      </c>
      <c r="E112" t="s">
        <v>17</v>
      </c>
      <c r="F112" t="s">
        <v>24</v>
      </c>
    </row>
    <row r="113" spans="1:6" x14ac:dyDescent="0.35">
      <c r="A113">
        <v>112</v>
      </c>
      <c r="B113" t="s">
        <v>133</v>
      </c>
      <c r="C113" t="s">
        <v>7</v>
      </c>
      <c r="D113" t="s">
        <v>11</v>
      </c>
      <c r="E113" t="s">
        <v>8</v>
      </c>
      <c r="F113" t="s">
        <v>13</v>
      </c>
    </row>
    <row r="114" spans="1:6" x14ac:dyDescent="0.35">
      <c r="A114">
        <v>113</v>
      </c>
      <c r="B114" t="s">
        <v>134</v>
      </c>
      <c r="C114" t="s">
        <v>11</v>
      </c>
      <c r="D114" t="s">
        <v>11</v>
      </c>
      <c r="E114" t="s">
        <v>23</v>
      </c>
      <c r="F114" t="s">
        <v>13</v>
      </c>
    </row>
    <row r="115" spans="1:6" x14ac:dyDescent="0.35">
      <c r="A115">
        <v>114</v>
      </c>
      <c r="B115" t="s">
        <v>135</v>
      </c>
      <c r="C115" t="s">
        <v>16</v>
      </c>
      <c r="D115" t="s">
        <v>15</v>
      </c>
      <c r="E115" t="s">
        <v>8</v>
      </c>
      <c r="F115" t="s">
        <v>24</v>
      </c>
    </row>
    <row r="116" spans="1:6" x14ac:dyDescent="0.35">
      <c r="A116">
        <v>115</v>
      </c>
      <c r="B116" t="s">
        <v>136</v>
      </c>
      <c r="C116" t="s">
        <v>11</v>
      </c>
      <c r="D116" t="s">
        <v>15</v>
      </c>
      <c r="E116" t="s">
        <v>23</v>
      </c>
      <c r="F116" t="s">
        <v>9</v>
      </c>
    </row>
    <row r="117" spans="1:6" x14ac:dyDescent="0.35">
      <c r="A117">
        <v>116</v>
      </c>
      <c r="B117" t="s">
        <v>137</v>
      </c>
      <c r="C117" t="s">
        <v>16</v>
      </c>
      <c r="D117" t="s">
        <v>11</v>
      </c>
      <c r="E117" t="s">
        <v>17</v>
      </c>
      <c r="F117" t="s">
        <v>13</v>
      </c>
    </row>
    <row r="118" spans="1:6" x14ac:dyDescent="0.35">
      <c r="A118">
        <v>117</v>
      </c>
      <c r="B118" t="s">
        <v>138</v>
      </c>
      <c r="C118" t="s">
        <v>7</v>
      </c>
      <c r="D118" t="s">
        <v>16</v>
      </c>
      <c r="E118" t="s">
        <v>23</v>
      </c>
      <c r="F118" t="s">
        <v>13</v>
      </c>
    </row>
    <row r="119" spans="1:6" x14ac:dyDescent="0.35">
      <c r="A119">
        <v>118</v>
      </c>
      <c r="B119" t="s">
        <v>139</v>
      </c>
      <c r="C119" t="s">
        <v>7</v>
      </c>
      <c r="D119" t="s">
        <v>7</v>
      </c>
      <c r="E119" t="s">
        <v>17</v>
      </c>
      <c r="F119" t="s">
        <v>13</v>
      </c>
    </row>
    <row r="120" spans="1:6" x14ac:dyDescent="0.35">
      <c r="A120">
        <v>119</v>
      </c>
      <c r="B120" t="s">
        <v>140</v>
      </c>
      <c r="C120" t="s">
        <v>15</v>
      </c>
      <c r="D120" t="s">
        <v>16</v>
      </c>
      <c r="E120" t="s">
        <v>17</v>
      </c>
      <c r="F120" t="s">
        <v>9</v>
      </c>
    </row>
    <row r="121" spans="1:6" x14ac:dyDescent="0.35">
      <c r="A121">
        <v>120</v>
      </c>
      <c r="B121" t="s">
        <v>141</v>
      </c>
      <c r="C121" t="s">
        <v>16</v>
      </c>
      <c r="D121" t="s">
        <v>7</v>
      </c>
      <c r="E121" t="s">
        <v>19</v>
      </c>
      <c r="F121" t="s">
        <v>9</v>
      </c>
    </row>
    <row r="122" spans="1:6" x14ac:dyDescent="0.35">
      <c r="A122">
        <v>121</v>
      </c>
      <c r="B122" t="s">
        <v>142</v>
      </c>
      <c r="C122" t="s">
        <v>11</v>
      </c>
      <c r="D122" t="s">
        <v>7</v>
      </c>
      <c r="E122" t="s">
        <v>17</v>
      </c>
      <c r="F122" t="s">
        <v>24</v>
      </c>
    </row>
    <row r="123" spans="1:6" x14ac:dyDescent="0.35">
      <c r="A123">
        <v>122</v>
      </c>
      <c r="B123" t="s">
        <v>143</v>
      </c>
      <c r="C123" t="s">
        <v>7</v>
      </c>
      <c r="D123" t="s">
        <v>16</v>
      </c>
      <c r="E123" t="s">
        <v>12</v>
      </c>
      <c r="F123" t="s">
        <v>13</v>
      </c>
    </row>
    <row r="124" spans="1:6" x14ac:dyDescent="0.35">
      <c r="A124">
        <v>123</v>
      </c>
      <c r="B124" t="s">
        <v>144</v>
      </c>
      <c r="C124" t="s">
        <v>11</v>
      </c>
      <c r="D124" t="s">
        <v>15</v>
      </c>
      <c r="E124" t="s">
        <v>23</v>
      </c>
      <c r="F124" t="s">
        <v>13</v>
      </c>
    </row>
    <row r="125" spans="1:6" x14ac:dyDescent="0.35">
      <c r="A125">
        <v>124</v>
      </c>
      <c r="B125" t="s">
        <v>145</v>
      </c>
      <c r="C125" t="s">
        <v>11</v>
      </c>
      <c r="D125" t="s">
        <v>15</v>
      </c>
      <c r="E125" t="s">
        <v>12</v>
      </c>
      <c r="F125" t="s">
        <v>13</v>
      </c>
    </row>
    <row r="126" spans="1:6" x14ac:dyDescent="0.35">
      <c r="A126">
        <v>125</v>
      </c>
      <c r="B126" t="s">
        <v>146</v>
      </c>
      <c r="C126" t="s">
        <v>16</v>
      </c>
      <c r="D126" t="s">
        <v>7</v>
      </c>
      <c r="E126" t="s">
        <v>17</v>
      </c>
      <c r="F126" t="s">
        <v>13</v>
      </c>
    </row>
    <row r="127" spans="1:6" x14ac:dyDescent="0.35">
      <c r="A127">
        <v>126</v>
      </c>
      <c r="B127" t="s">
        <v>147</v>
      </c>
      <c r="C127" t="s">
        <v>16</v>
      </c>
      <c r="D127" t="s">
        <v>11</v>
      </c>
      <c r="E127" t="s">
        <v>23</v>
      </c>
      <c r="F127" t="s">
        <v>24</v>
      </c>
    </row>
    <row r="128" spans="1:6" x14ac:dyDescent="0.35">
      <c r="A128">
        <v>127</v>
      </c>
      <c r="B128" t="s">
        <v>148</v>
      </c>
      <c r="C128" t="s">
        <v>16</v>
      </c>
      <c r="D128" t="s">
        <v>7</v>
      </c>
      <c r="E128" t="s">
        <v>12</v>
      </c>
      <c r="F128" t="s">
        <v>13</v>
      </c>
    </row>
    <row r="129" spans="1:6" x14ac:dyDescent="0.35">
      <c r="A129">
        <v>128</v>
      </c>
      <c r="B129" t="s">
        <v>149</v>
      </c>
      <c r="C129" t="s">
        <v>15</v>
      </c>
      <c r="D129" t="s">
        <v>15</v>
      </c>
      <c r="E129" t="s">
        <v>8</v>
      </c>
      <c r="F129" t="s">
        <v>9</v>
      </c>
    </row>
    <row r="130" spans="1:6" x14ac:dyDescent="0.35">
      <c r="A130">
        <v>129</v>
      </c>
      <c r="B130" t="s">
        <v>150</v>
      </c>
      <c r="C130" t="s">
        <v>15</v>
      </c>
      <c r="D130" t="s">
        <v>7</v>
      </c>
      <c r="E130" t="s">
        <v>12</v>
      </c>
      <c r="F130" t="s">
        <v>9</v>
      </c>
    </row>
    <row r="131" spans="1:6" x14ac:dyDescent="0.35">
      <c r="A131">
        <v>130</v>
      </c>
      <c r="B131" t="s">
        <v>151</v>
      </c>
      <c r="C131" t="s">
        <v>7</v>
      </c>
      <c r="D131" t="s">
        <v>11</v>
      </c>
      <c r="E131" t="s">
        <v>23</v>
      </c>
      <c r="F131" t="s">
        <v>13</v>
      </c>
    </row>
    <row r="132" spans="1:6" x14ac:dyDescent="0.35">
      <c r="A132">
        <v>131</v>
      </c>
      <c r="B132" t="s">
        <v>152</v>
      </c>
      <c r="C132" t="s">
        <v>16</v>
      </c>
      <c r="D132" t="s">
        <v>16</v>
      </c>
      <c r="E132" t="s">
        <v>23</v>
      </c>
      <c r="F132" t="s">
        <v>13</v>
      </c>
    </row>
    <row r="133" spans="1:6" x14ac:dyDescent="0.35">
      <c r="A133">
        <v>132</v>
      </c>
      <c r="B133" t="s">
        <v>153</v>
      </c>
      <c r="C133" t="s">
        <v>15</v>
      </c>
      <c r="D133" t="s">
        <v>7</v>
      </c>
      <c r="E133" t="s">
        <v>19</v>
      </c>
      <c r="F133" t="s">
        <v>9</v>
      </c>
    </row>
    <row r="134" spans="1:6" x14ac:dyDescent="0.35">
      <c r="A134">
        <v>133</v>
      </c>
      <c r="B134" t="s">
        <v>154</v>
      </c>
      <c r="C134" t="s">
        <v>16</v>
      </c>
      <c r="D134" t="s">
        <v>16</v>
      </c>
      <c r="E134" t="s">
        <v>8</v>
      </c>
      <c r="F134" t="s">
        <v>9</v>
      </c>
    </row>
    <row r="135" spans="1:6" x14ac:dyDescent="0.35">
      <c r="A135">
        <v>134</v>
      </c>
      <c r="B135" t="s">
        <v>155</v>
      </c>
      <c r="C135" t="s">
        <v>16</v>
      </c>
      <c r="D135" t="s">
        <v>7</v>
      </c>
      <c r="E135" t="s">
        <v>8</v>
      </c>
      <c r="F135" t="s">
        <v>9</v>
      </c>
    </row>
    <row r="136" spans="1:6" x14ac:dyDescent="0.35">
      <c r="A136">
        <v>135</v>
      </c>
      <c r="B136" t="s">
        <v>156</v>
      </c>
      <c r="C136" t="s">
        <v>16</v>
      </c>
      <c r="D136" t="s">
        <v>15</v>
      </c>
      <c r="E136" t="s">
        <v>23</v>
      </c>
      <c r="F136" t="s">
        <v>13</v>
      </c>
    </row>
    <row r="137" spans="1:6" x14ac:dyDescent="0.35">
      <c r="A137">
        <v>136</v>
      </c>
      <c r="B137" t="s">
        <v>157</v>
      </c>
      <c r="C137" t="s">
        <v>7</v>
      </c>
      <c r="D137" t="s">
        <v>16</v>
      </c>
      <c r="E137" t="s">
        <v>8</v>
      </c>
      <c r="F137" t="s">
        <v>9</v>
      </c>
    </row>
    <row r="138" spans="1:6" x14ac:dyDescent="0.35">
      <c r="A138">
        <v>137</v>
      </c>
      <c r="B138" t="s">
        <v>158</v>
      </c>
      <c r="C138" t="s">
        <v>16</v>
      </c>
      <c r="D138" t="s">
        <v>7</v>
      </c>
      <c r="E138" t="s">
        <v>23</v>
      </c>
      <c r="F138" t="s">
        <v>9</v>
      </c>
    </row>
    <row r="139" spans="1:6" x14ac:dyDescent="0.35">
      <c r="A139">
        <v>138</v>
      </c>
      <c r="B139" t="s">
        <v>159</v>
      </c>
      <c r="C139" t="s">
        <v>15</v>
      </c>
      <c r="D139" t="s">
        <v>16</v>
      </c>
      <c r="E139" t="s">
        <v>8</v>
      </c>
      <c r="F139" t="s">
        <v>13</v>
      </c>
    </row>
    <row r="140" spans="1:6" x14ac:dyDescent="0.35">
      <c r="A140">
        <v>139</v>
      </c>
      <c r="B140" t="s">
        <v>160</v>
      </c>
      <c r="C140" t="s">
        <v>15</v>
      </c>
      <c r="D140" t="s">
        <v>16</v>
      </c>
      <c r="E140" t="s">
        <v>23</v>
      </c>
      <c r="F140" t="s">
        <v>13</v>
      </c>
    </row>
    <row r="141" spans="1:6" x14ac:dyDescent="0.35">
      <c r="A141">
        <v>140</v>
      </c>
      <c r="B141" t="s">
        <v>161</v>
      </c>
      <c r="C141" t="s">
        <v>16</v>
      </c>
      <c r="D141" t="s">
        <v>15</v>
      </c>
      <c r="E141" t="s">
        <v>8</v>
      </c>
      <c r="F141" t="s">
        <v>9</v>
      </c>
    </row>
    <row r="142" spans="1:6" x14ac:dyDescent="0.35">
      <c r="A142">
        <v>141</v>
      </c>
      <c r="B142" t="s">
        <v>162</v>
      </c>
      <c r="C142" t="s">
        <v>16</v>
      </c>
      <c r="D142" t="s">
        <v>15</v>
      </c>
      <c r="E142" t="s">
        <v>23</v>
      </c>
      <c r="F142" t="s">
        <v>9</v>
      </c>
    </row>
    <row r="143" spans="1:6" x14ac:dyDescent="0.35">
      <c r="A143">
        <v>142</v>
      </c>
      <c r="B143" t="s">
        <v>163</v>
      </c>
      <c r="C143" t="s">
        <v>11</v>
      </c>
      <c r="D143" t="s">
        <v>11</v>
      </c>
      <c r="E143" t="s">
        <v>12</v>
      </c>
      <c r="F143" t="s">
        <v>9</v>
      </c>
    </row>
    <row r="144" spans="1:6" x14ac:dyDescent="0.35">
      <c r="A144">
        <v>143</v>
      </c>
      <c r="B144" t="s">
        <v>164</v>
      </c>
      <c r="C144" t="s">
        <v>16</v>
      </c>
      <c r="D144" t="s">
        <v>16</v>
      </c>
      <c r="E144" t="s">
        <v>17</v>
      </c>
      <c r="F144" t="s">
        <v>24</v>
      </c>
    </row>
    <row r="145" spans="1:6" x14ac:dyDescent="0.35">
      <c r="A145">
        <v>144</v>
      </c>
      <c r="B145" t="s">
        <v>165</v>
      </c>
      <c r="C145" t="s">
        <v>7</v>
      </c>
      <c r="D145" t="s">
        <v>7</v>
      </c>
      <c r="E145" t="s">
        <v>12</v>
      </c>
      <c r="F145" t="s">
        <v>13</v>
      </c>
    </row>
    <row r="146" spans="1:6" x14ac:dyDescent="0.35">
      <c r="A146">
        <v>145</v>
      </c>
      <c r="B146" t="s">
        <v>166</v>
      </c>
      <c r="C146" t="s">
        <v>11</v>
      </c>
      <c r="D146" t="s">
        <v>15</v>
      </c>
      <c r="E146" t="s">
        <v>17</v>
      </c>
      <c r="F146" t="s">
        <v>24</v>
      </c>
    </row>
    <row r="147" spans="1:6" x14ac:dyDescent="0.35">
      <c r="A147">
        <v>146</v>
      </c>
      <c r="B147" t="s">
        <v>167</v>
      </c>
      <c r="C147" t="s">
        <v>11</v>
      </c>
      <c r="D147" t="s">
        <v>15</v>
      </c>
      <c r="E147" t="s">
        <v>19</v>
      </c>
      <c r="F147" t="s">
        <v>13</v>
      </c>
    </row>
    <row r="148" spans="1:6" x14ac:dyDescent="0.35">
      <c r="A148">
        <v>147</v>
      </c>
      <c r="B148" t="s">
        <v>168</v>
      </c>
      <c r="C148" t="s">
        <v>15</v>
      </c>
      <c r="D148" t="s">
        <v>16</v>
      </c>
      <c r="E148" t="s">
        <v>19</v>
      </c>
      <c r="F148" t="s">
        <v>13</v>
      </c>
    </row>
    <row r="149" spans="1:6" x14ac:dyDescent="0.35">
      <c r="A149">
        <v>148</v>
      </c>
      <c r="B149" t="s">
        <v>169</v>
      </c>
      <c r="C149" t="s">
        <v>15</v>
      </c>
      <c r="D149" t="s">
        <v>7</v>
      </c>
      <c r="E149" t="s">
        <v>17</v>
      </c>
      <c r="F149" t="s">
        <v>9</v>
      </c>
    </row>
    <row r="150" spans="1:6" x14ac:dyDescent="0.35">
      <c r="A150">
        <v>149</v>
      </c>
      <c r="B150" t="s">
        <v>170</v>
      </c>
      <c r="C150" t="s">
        <v>16</v>
      </c>
      <c r="D150" t="s">
        <v>16</v>
      </c>
      <c r="E150" t="s">
        <v>8</v>
      </c>
      <c r="F150" t="s">
        <v>13</v>
      </c>
    </row>
    <row r="151" spans="1:6" x14ac:dyDescent="0.35">
      <c r="A151">
        <v>150</v>
      </c>
      <c r="B151" t="s">
        <v>171</v>
      </c>
      <c r="C151" t="s">
        <v>7</v>
      </c>
      <c r="D151" t="s">
        <v>11</v>
      </c>
      <c r="E151" t="s">
        <v>23</v>
      </c>
      <c r="F151" t="s">
        <v>9</v>
      </c>
    </row>
    <row r="152" spans="1:6" x14ac:dyDescent="0.35">
      <c r="A152">
        <v>151</v>
      </c>
      <c r="B152" t="s">
        <v>172</v>
      </c>
      <c r="C152" t="s">
        <v>15</v>
      </c>
      <c r="D152" t="s">
        <v>7</v>
      </c>
      <c r="E152" t="s">
        <v>23</v>
      </c>
      <c r="F152" t="s">
        <v>13</v>
      </c>
    </row>
    <row r="153" spans="1:6" x14ac:dyDescent="0.35">
      <c r="A153">
        <v>152</v>
      </c>
      <c r="B153" t="s">
        <v>173</v>
      </c>
      <c r="C153" t="s">
        <v>15</v>
      </c>
      <c r="D153" t="s">
        <v>7</v>
      </c>
      <c r="E153" t="s">
        <v>23</v>
      </c>
      <c r="F153" t="s">
        <v>9</v>
      </c>
    </row>
    <row r="154" spans="1:6" x14ac:dyDescent="0.35">
      <c r="A154">
        <v>153</v>
      </c>
      <c r="B154" t="s">
        <v>174</v>
      </c>
      <c r="C154" t="s">
        <v>11</v>
      </c>
      <c r="D154" t="s">
        <v>11</v>
      </c>
      <c r="E154" t="s">
        <v>19</v>
      </c>
      <c r="F154" t="s">
        <v>24</v>
      </c>
    </row>
    <row r="155" spans="1:6" x14ac:dyDescent="0.35">
      <c r="A155">
        <v>154</v>
      </c>
      <c r="B155" t="s">
        <v>175</v>
      </c>
      <c r="C155" t="s">
        <v>15</v>
      </c>
      <c r="D155" t="s">
        <v>11</v>
      </c>
      <c r="E155" t="s">
        <v>8</v>
      </c>
      <c r="F155" t="s">
        <v>13</v>
      </c>
    </row>
    <row r="156" spans="1:6" x14ac:dyDescent="0.35">
      <c r="A156">
        <v>155</v>
      </c>
      <c r="B156" t="s">
        <v>176</v>
      </c>
      <c r="C156" t="s">
        <v>16</v>
      </c>
      <c r="D156" t="s">
        <v>7</v>
      </c>
      <c r="E156" t="s">
        <v>17</v>
      </c>
      <c r="F156" t="s">
        <v>9</v>
      </c>
    </row>
    <row r="157" spans="1:6" x14ac:dyDescent="0.35">
      <c r="A157">
        <v>156</v>
      </c>
      <c r="B157" t="s">
        <v>177</v>
      </c>
      <c r="C157" t="s">
        <v>11</v>
      </c>
      <c r="D157" t="s">
        <v>7</v>
      </c>
      <c r="E157" t="s">
        <v>23</v>
      </c>
      <c r="F157" t="s">
        <v>13</v>
      </c>
    </row>
    <row r="158" spans="1:6" x14ac:dyDescent="0.35">
      <c r="A158">
        <v>157</v>
      </c>
      <c r="B158" t="s">
        <v>178</v>
      </c>
      <c r="C158" t="s">
        <v>15</v>
      </c>
      <c r="D158" t="s">
        <v>15</v>
      </c>
      <c r="E158" t="s">
        <v>19</v>
      </c>
      <c r="F158" t="s">
        <v>9</v>
      </c>
    </row>
    <row r="159" spans="1:6" x14ac:dyDescent="0.35">
      <c r="A159">
        <v>158</v>
      </c>
      <c r="B159" t="s">
        <v>179</v>
      </c>
      <c r="C159" t="s">
        <v>15</v>
      </c>
      <c r="D159" t="s">
        <v>15</v>
      </c>
      <c r="E159" t="s">
        <v>12</v>
      </c>
      <c r="F159" t="s">
        <v>13</v>
      </c>
    </row>
    <row r="160" spans="1:6" x14ac:dyDescent="0.35">
      <c r="A160">
        <v>159</v>
      </c>
      <c r="B160" t="s">
        <v>180</v>
      </c>
      <c r="C160" t="s">
        <v>11</v>
      </c>
      <c r="D160" t="s">
        <v>7</v>
      </c>
      <c r="E160" t="s">
        <v>23</v>
      </c>
      <c r="F160" t="s">
        <v>9</v>
      </c>
    </row>
    <row r="161" spans="1:6" x14ac:dyDescent="0.35">
      <c r="A161">
        <v>160</v>
      </c>
      <c r="B161" t="s">
        <v>181</v>
      </c>
      <c r="C161" t="s">
        <v>16</v>
      </c>
      <c r="D161" t="s">
        <v>15</v>
      </c>
      <c r="E161" t="s">
        <v>12</v>
      </c>
      <c r="F161" t="s">
        <v>9</v>
      </c>
    </row>
    <row r="162" spans="1:6" x14ac:dyDescent="0.35">
      <c r="A162">
        <v>161</v>
      </c>
      <c r="B162" t="s">
        <v>182</v>
      </c>
      <c r="C162" t="s">
        <v>7</v>
      </c>
      <c r="D162" t="s">
        <v>15</v>
      </c>
      <c r="E162" t="s">
        <v>8</v>
      </c>
      <c r="F162" t="s">
        <v>9</v>
      </c>
    </row>
    <row r="163" spans="1:6" x14ac:dyDescent="0.35">
      <c r="A163">
        <v>162</v>
      </c>
      <c r="B163" t="s">
        <v>183</v>
      </c>
      <c r="C163" t="s">
        <v>15</v>
      </c>
      <c r="D163" t="s">
        <v>7</v>
      </c>
      <c r="E163" t="s">
        <v>17</v>
      </c>
      <c r="F163" t="s">
        <v>24</v>
      </c>
    </row>
    <row r="164" spans="1:6" x14ac:dyDescent="0.35">
      <c r="A164">
        <v>163</v>
      </c>
      <c r="B164" t="s">
        <v>184</v>
      </c>
      <c r="C164" t="s">
        <v>11</v>
      </c>
      <c r="D164" t="s">
        <v>7</v>
      </c>
      <c r="E164" t="s">
        <v>8</v>
      </c>
      <c r="F164" t="s">
        <v>24</v>
      </c>
    </row>
    <row r="165" spans="1:6" x14ac:dyDescent="0.35">
      <c r="A165">
        <v>164</v>
      </c>
      <c r="B165" t="s">
        <v>185</v>
      </c>
      <c r="C165" t="s">
        <v>15</v>
      </c>
      <c r="D165" t="s">
        <v>11</v>
      </c>
      <c r="E165" t="s">
        <v>23</v>
      </c>
      <c r="F165" t="s">
        <v>13</v>
      </c>
    </row>
    <row r="166" spans="1:6" x14ac:dyDescent="0.35">
      <c r="A166">
        <v>165</v>
      </c>
      <c r="B166" t="s">
        <v>186</v>
      </c>
      <c r="C166" t="s">
        <v>7</v>
      </c>
      <c r="D166" t="s">
        <v>16</v>
      </c>
      <c r="E166" t="s">
        <v>23</v>
      </c>
      <c r="F166" t="s">
        <v>9</v>
      </c>
    </row>
    <row r="167" spans="1:6" x14ac:dyDescent="0.35">
      <c r="A167">
        <v>166</v>
      </c>
      <c r="B167" t="s">
        <v>187</v>
      </c>
      <c r="C167" t="s">
        <v>11</v>
      </c>
      <c r="D167" t="s">
        <v>11</v>
      </c>
      <c r="E167" t="s">
        <v>19</v>
      </c>
      <c r="F167" t="s">
        <v>9</v>
      </c>
    </row>
    <row r="168" spans="1:6" x14ac:dyDescent="0.35">
      <c r="A168">
        <v>167</v>
      </c>
      <c r="B168" t="s">
        <v>188</v>
      </c>
      <c r="C168" t="s">
        <v>7</v>
      </c>
      <c r="D168" t="s">
        <v>11</v>
      </c>
      <c r="E168" t="s">
        <v>8</v>
      </c>
      <c r="F168" t="s">
        <v>9</v>
      </c>
    </row>
    <row r="169" spans="1:6" x14ac:dyDescent="0.35">
      <c r="A169">
        <v>168</v>
      </c>
      <c r="B169" t="s">
        <v>189</v>
      </c>
      <c r="C169" t="s">
        <v>7</v>
      </c>
      <c r="D169" t="s">
        <v>15</v>
      </c>
      <c r="E169" t="s">
        <v>19</v>
      </c>
      <c r="F169" t="s">
        <v>9</v>
      </c>
    </row>
    <row r="170" spans="1:6" x14ac:dyDescent="0.35">
      <c r="A170">
        <v>169</v>
      </c>
      <c r="B170" t="s">
        <v>190</v>
      </c>
      <c r="C170" t="s">
        <v>15</v>
      </c>
      <c r="D170" t="s">
        <v>7</v>
      </c>
      <c r="E170" t="s">
        <v>12</v>
      </c>
      <c r="F170" t="s">
        <v>9</v>
      </c>
    </row>
    <row r="171" spans="1:6" x14ac:dyDescent="0.35">
      <c r="A171">
        <v>170</v>
      </c>
      <c r="B171" t="s">
        <v>191</v>
      </c>
      <c r="C171" t="s">
        <v>15</v>
      </c>
      <c r="D171" t="s">
        <v>16</v>
      </c>
      <c r="E171" t="s">
        <v>8</v>
      </c>
      <c r="F171" t="s">
        <v>9</v>
      </c>
    </row>
    <row r="172" spans="1:6" x14ac:dyDescent="0.35">
      <c r="A172">
        <v>171</v>
      </c>
      <c r="B172" t="s">
        <v>192</v>
      </c>
      <c r="C172" t="s">
        <v>7</v>
      </c>
      <c r="D172" t="s">
        <v>11</v>
      </c>
      <c r="E172" t="s">
        <v>8</v>
      </c>
      <c r="F172" t="s">
        <v>13</v>
      </c>
    </row>
    <row r="173" spans="1:6" x14ac:dyDescent="0.35">
      <c r="A173">
        <v>172</v>
      </c>
      <c r="B173" t="s">
        <v>193</v>
      </c>
      <c r="C173" t="s">
        <v>16</v>
      </c>
      <c r="D173" t="s">
        <v>7</v>
      </c>
      <c r="E173" t="s">
        <v>17</v>
      </c>
      <c r="F173" t="s">
        <v>13</v>
      </c>
    </row>
    <row r="174" spans="1:6" x14ac:dyDescent="0.35">
      <c r="A174">
        <v>173</v>
      </c>
      <c r="B174" t="s">
        <v>194</v>
      </c>
      <c r="C174" t="s">
        <v>16</v>
      </c>
      <c r="D174" t="s">
        <v>7</v>
      </c>
      <c r="E174" t="s">
        <v>23</v>
      </c>
      <c r="F174" t="s">
        <v>9</v>
      </c>
    </row>
    <row r="175" spans="1:6" x14ac:dyDescent="0.35">
      <c r="A175">
        <v>174</v>
      </c>
      <c r="B175" t="s">
        <v>195</v>
      </c>
      <c r="C175" t="s">
        <v>16</v>
      </c>
      <c r="D175" t="s">
        <v>7</v>
      </c>
      <c r="E175" t="s">
        <v>17</v>
      </c>
      <c r="F175" t="s">
        <v>13</v>
      </c>
    </row>
    <row r="176" spans="1:6" x14ac:dyDescent="0.35">
      <c r="A176">
        <v>175</v>
      </c>
      <c r="B176" t="s">
        <v>196</v>
      </c>
      <c r="C176" t="s">
        <v>7</v>
      </c>
      <c r="D176" t="s">
        <v>7</v>
      </c>
      <c r="E176" t="s">
        <v>12</v>
      </c>
      <c r="F176" t="s">
        <v>13</v>
      </c>
    </row>
    <row r="177" spans="1:6" x14ac:dyDescent="0.35">
      <c r="A177">
        <v>176</v>
      </c>
      <c r="B177" t="s">
        <v>197</v>
      </c>
      <c r="C177" t="s">
        <v>15</v>
      </c>
      <c r="D177" t="s">
        <v>7</v>
      </c>
      <c r="E177" t="s">
        <v>12</v>
      </c>
      <c r="F177" t="s">
        <v>9</v>
      </c>
    </row>
    <row r="178" spans="1:6" x14ac:dyDescent="0.35">
      <c r="A178">
        <v>177</v>
      </c>
      <c r="B178" t="s">
        <v>198</v>
      </c>
      <c r="C178" t="s">
        <v>7</v>
      </c>
      <c r="D178" t="s">
        <v>11</v>
      </c>
      <c r="E178" t="s">
        <v>23</v>
      </c>
      <c r="F178" t="s">
        <v>13</v>
      </c>
    </row>
    <row r="179" spans="1:6" x14ac:dyDescent="0.35">
      <c r="A179">
        <v>178</v>
      </c>
      <c r="B179" t="s">
        <v>199</v>
      </c>
      <c r="C179" t="s">
        <v>16</v>
      </c>
      <c r="D179" t="s">
        <v>15</v>
      </c>
      <c r="E179" t="s">
        <v>8</v>
      </c>
      <c r="F179" t="s">
        <v>13</v>
      </c>
    </row>
    <row r="180" spans="1:6" x14ac:dyDescent="0.35">
      <c r="A180">
        <v>179</v>
      </c>
      <c r="B180" t="s">
        <v>200</v>
      </c>
      <c r="C180" t="s">
        <v>16</v>
      </c>
      <c r="D180" t="s">
        <v>16</v>
      </c>
      <c r="E180" t="s">
        <v>12</v>
      </c>
      <c r="F180" t="s">
        <v>9</v>
      </c>
    </row>
    <row r="181" spans="1:6" x14ac:dyDescent="0.35">
      <c r="A181">
        <v>180</v>
      </c>
      <c r="B181" t="s">
        <v>201</v>
      </c>
      <c r="C181" t="s">
        <v>15</v>
      </c>
      <c r="D181" t="s">
        <v>15</v>
      </c>
      <c r="E181" t="s">
        <v>17</v>
      </c>
      <c r="F181" t="s">
        <v>9</v>
      </c>
    </row>
    <row r="182" spans="1:6" x14ac:dyDescent="0.35">
      <c r="A182">
        <v>181</v>
      </c>
      <c r="B182" t="s">
        <v>202</v>
      </c>
      <c r="C182" t="s">
        <v>15</v>
      </c>
      <c r="D182" t="s">
        <v>11</v>
      </c>
      <c r="E182" t="s">
        <v>23</v>
      </c>
      <c r="F182" t="s">
        <v>9</v>
      </c>
    </row>
    <row r="183" spans="1:6" x14ac:dyDescent="0.35">
      <c r="A183">
        <v>182</v>
      </c>
      <c r="B183" t="s">
        <v>203</v>
      </c>
      <c r="C183" t="s">
        <v>11</v>
      </c>
      <c r="D183" t="s">
        <v>16</v>
      </c>
      <c r="E183" t="s">
        <v>19</v>
      </c>
      <c r="F183" t="s">
        <v>9</v>
      </c>
    </row>
    <row r="184" spans="1:6" x14ac:dyDescent="0.35">
      <c r="A184">
        <v>183</v>
      </c>
      <c r="B184" t="s">
        <v>204</v>
      </c>
      <c r="C184" t="s">
        <v>16</v>
      </c>
      <c r="D184" t="s">
        <v>7</v>
      </c>
      <c r="E184" t="s">
        <v>12</v>
      </c>
      <c r="F184" t="s">
        <v>13</v>
      </c>
    </row>
    <row r="185" spans="1:6" x14ac:dyDescent="0.35">
      <c r="A185">
        <v>184</v>
      </c>
      <c r="B185" t="s">
        <v>205</v>
      </c>
      <c r="C185" t="s">
        <v>15</v>
      </c>
      <c r="D185" t="s">
        <v>7</v>
      </c>
      <c r="E185" t="s">
        <v>12</v>
      </c>
      <c r="F185" t="s">
        <v>13</v>
      </c>
    </row>
    <row r="186" spans="1:6" x14ac:dyDescent="0.35">
      <c r="A186">
        <v>185</v>
      </c>
      <c r="B186" t="s">
        <v>206</v>
      </c>
      <c r="C186" t="s">
        <v>11</v>
      </c>
      <c r="D186" t="s">
        <v>7</v>
      </c>
      <c r="E186" t="s">
        <v>12</v>
      </c>
      <c r="F186" t="s">
        <v>9</v>
      </c>
    </row>
    <row r="187" spans="1:6" x14ac:dyDescent="0.35">
      <c r="A187">
        <v>186</v>
      </c>
      <c r="B187" t="s">
        <v>207</v>
      </c>
      <c r="C187" t="s">
        <v>15</v>
      </c>
      <c r="D187" t="s">
        <v>7</v>
      </c>
      <c r="E187" t="s">
        <v>12</v>
      </c>
      <c r="F187" t="s">
        <v>9</v>
      </c>
    </row>
    <row r="188" spans="1:6" x14ac:dyDescent="0.35">
      <c r="A188">
        <v>187</v>
      </c>
      <c r="B188" t="s">
        <v>208</v>
      </c>
      <c r="C188" t="s">
        <v>16</v>
      </c>
      <c r="D188" t="s">
        <v>16</v>
      </c>
      <c r="E188" t="s">
        <v>17</v>
      </c>
      <c r="F188" t="s">
        <v>13</v>
      </c>
    </row>
    <row r="189" spans="1:6" x14ac:dyDescent="0.35">
      <c r="A189">
        <v>188</v>
      </c>
      <c r="B189" t="s">
        <v>209</v>
      </c>
      <c r="C189" t="s">
        <v>11</v>
      </c>
      <c r="D189" t="s">
        <v>11</v>
      </c>
      <c r="E189" t="s">
        <v>17</v>
      </c>
      <c r="F189" t="s">
        <v>13</v>
      </c>
    </row>
    <row r="190" spans="1:6" x14ac:dyDescent="0.35">
      <c r="A190">
        <v>189</v>
      </c>
      <c r="B190" t="s">
        <v>210</v>
      </c>
      <c r="C190" t="s">
        <v>16</v>
      </c>
      <c r="D190" t="s">
        <v>11</v>
      </c>
      <c r="E190" t="s">
        <v>12</v>
      </c>
      <c r="F190" t="s">
        <v>13</v>
      </c>
    </row>
    <row r="191" spans="1:6" x14ac:dyDescent="0.35">
      <c r="A191">
        <v>190</v>
      </c>
      <c r="B191" t="s">
        <v>211</v>
      </c>
      <c r="C191" t="s">
        <v>15</v>
      </c>
      <c r="D191" t="s">
        <v>16</v>
      </c>
      <c r="E191" t="s">
        <v>8</v>
      </c>
      <c r="F191" t="s">
        <v>9</v>
      </c>
    </row>
    <row r="192" spans="1:6" x14ac:dyDescent="0.35">
      <c r="A192">
        <v>191</v>
      </c>
      <c r="B192" t="s">
        <v>212</v>
      </c>
      <c r="C192" t="s">
        <v>16</v>
      </c>
      <c r="D192" t="s">
        <v>16</v>
      </c>
      <c r="E192" t="s">
        <v>12</v>
      </c>
      <c r="F192" t="s">
        <v>24</v>
      </c>
    </row>
    <row r="193" spans="1:6" x14ac:dyDescent="0.35">
      <c r="A193">
        <v>192</v>
      </c>
      <c r="B193" t="s">
        <v>213</v>
      </c>
      <c r="C193" t="s">
        <v>11</v>
      </c>
      <c r="D193" t="s">
        <v>16</v>
      </c>
      <c r="E193" t="s">
        <v>8</v>
      </c>
      <c r="F193" t="s">
        <v>9</v>
      </c>
    </row>
    <row r="194" spans="1:6" x14ac:dyDescent="0.35">
      <c r="A194">
        <v>193</v>
      </c>
      <c r="B194" t="s">
        <v>214</v>
      </c>
      <c r="C194" t="s">
        <v>7</v>
      </c>
      <c r="D194" t="s">
        <v>7</v>
      </c>
      <c r="E194" t="s">
        <v>23</v>
      </c>
      <c r="F194" t="s">
        <v>9</v>
      </c>
    </row>
    <row r="195" spans="1:6" x14ac:dyDescent="0.35">
      <c r="A195">
        <v>194</v>
      </c>
      <c r="B195" t="s">
        <v>215</v>
      </c>
      <c r="C195" t="s">
        <v>11</v>
      </c>
      <c r="D195" t="s">
        <v>15</v>
      </c>
      <c r="E195" t="s">
        <v>12</v>
      </c>
      <c r="F195" t="s">
        <v>13</v>
      </c>
    </row>
    <row r="196" spans="1:6" x14ac:dyDescent="0.35">
      <c r="A196">
        <v>195</v>
      </c>
      <c r="B196" t="s">
        <v>216</v>
      </c>
      <c r="C196" t="s">
        <v>15</v>
      </c>
      <c r="D196" t="s">
        <v>11</v>
      </c>
      <c r="E196" t="s">
        <v>17</v>
      </c>
      <c r="F196" t="s">
        <v>13</v>
      </c>
    </row>
    <row r="197" spans="1:6" x14ac:dyDescent="0.35">
      <c r="A197">
        <v>196</v>
      </c>
      <c r="B197" t="s">
        <v>217</v>
      </c>
      <c r="C197" t="s">
        <v>16</v>
      </c>
      <c r="D197" t="s">
        <v>11</v>
      </c>
      <c r="E197" t="s">
        <v>8</v>
      </c>
      <c r="F197" t="s">
        <v>9</v>
      </c>
    </row>
    <row r="198" spans="1:6" x14ac:dyDescent="0.35">
      <c r="A198">
        <v>197</v>
      </c>
      <c r="B198" t="s">
        <v>218</v>
      </c>
      <c r="C198" t="s">
        <v>15</v>
      </c>
      <c r="D198" t="s">
        <v>11</v>
      </c>
      <c r="E198" t="s">
        <v>17</v>
      </c>
      <c r="F198" t="s">
        <v>24</v>
      </c>
    </row>
    <row r="199" spans="1:6" x14ac:dyDescent="0.35">
      <c r="A199">
        <v>198</v>
      </c>
      <c r="B199" t="s">
        <v>219</v>
      </c>
      <c r="C199" t="s">
        <v>16</v>
      </c>
      <c r="D199" t="s">
        <v>16</v>
      </c>
      <c r="E199" t="s">
        <v>23</v>
      </c>
      <c r="F199" t="s">
        <v>13</v>
      </c>
    </row>
    <row r="200" spans="1:6" x14ac:dyDescent="0.35">
      <c r="A200">
        <v>199</v>
      </c>
      <c r="B200" t="s">
        <v>220</v>
      </c>
      <c r="C200" t="s">
        <v>16</v>
      </c>
      <c r="D200" t="s">
        <v>16</v>
      </c>
      <c r="E200" t="s">
        <v>23</v>
      </c>
      <c r="F200" t="s">
        <v>24</v>
      </c>
    </row>
    <row r="201" spans="1:6" x14ac:dyDescent="0.35">
      <c r="A201">
        <v>200</v>
      </c>
      <c r="B201" t="s">
        <v>221</v>
      </c>
      <c r="C201" t="s">
        <v>7</v>
      </c>
      <c r="D201" t="s">
        <v>16</v>
      </c>
      <c r="E201" t="s">
        <v>17</v>
      </c>
      <c r="F201" t="s">
        <v>24</v>
      </c>
    </row>
    <row r="202" spans="1:6" x14ac:dyDescent="0.35">
      <c r="A202">
        <v>201</v>
      </c>
      <c r="B202" t="s">
        <v>222</v>
      </c>
      <c r="C202" t="s">
        <v>16</v>
      </c>
      <c r="D202" t="s">
        <v>15</v>
      </c>
      <c r="E202" t="s">
        <v>17</v>
      </c>
      <c r="F202" t="s">
        <v>13</v>
      </c>
    </row>
    <row r="203" spans="1:6" x14ac:dyDescent="0.35">
      <c r="A203">
        <v>202</v>
      </c>
      <c r="B203" t="s">
        <v>223</v>
      </c>
      <c r="C203" t="s">
        <v>11</v>
      </c>
      <c r="D203" t="s">
        <v>16</v>
      </c>
      <c r="E203" t="s">
        <v>19</v>
      </c>
      <c r="F203" t="s">
        <v>13</v>
      </c>
    </row>
    <row r="204" spans="1:6" x14ac:dyDescent="0.35">
      <c r="A204">
        <v>203</v>
      </c>
      <c r="B204" t="s">
        <v>224</v>
      </c>
      <c r="C204" t="s">
        <v>15</v>
      </c>
      <c r="D204" t="s">
        <v>11</v>
      </c>
      <c r="E204" t="s">
        <v>17</v>
      </c>
      <c r="F204" t="s">
        <v>13</v>
      </c>
    </row>
    <row r="205" spans="1:6" x14ac:dyDescent="0.35">
      <c r="A205">
        <v>204</v>
      </c>
      <c r="B205" t="s">
        <v>225</v>
      </c>
      <c r="C205" t="s">
        <v>16</v>
      </c>
      <c r="D205" t="s">
        <v>11</v>
      </c>
      <c r="E205" t="s">
        <v>17</v>
      </c>
      <c r="F205" t="s">
        <v>13</v>
      </c>
    </row>
    <row r="206" spans="1:6" x14ac:dyDescent="0.35">
      <c r="A206">
        <v>205</v>
      </c>
      <c r="B206" t="s">
        <v>226</v>
      </c>
      <c r="C206" t="s">
        <v>7</v>
      </c>
      <c r="D206" t="s">
        <v>16</v>
      </c>
      <c r="E206" t="s">
        <v>17</v>
      </c>
      <c r="F206" t="s">
        <v>9</v>
      </c>
    </row>
    <row r="207" spans="1:6" x14ac:dyDescent="0.35">
      <c r="A207">
        <v>206</v>
      </c>
      <c r="B207" t="s">
        <v>227</v>
      </c>
      <c r="C207" t="s">
        <v>15</v>
      </c>
      <c r="D207" t="s">
        <v>11</v>
      </c>
      <c r="E207" t="s">
        <v>23</v>
      </c>
      <c r="F207" t="s">
        <v>13</v>
      </c>
    </row>
    <row r="208" spans="1:6" x14ac:dyDescent="0.35">
      <c r="A208">
        <v>207</v>
      </c>
      <c r="B208" t="s">
        <v>228</v>
      </c>
      <c r="C208" t="s">
        <v>11</v>
      </c>
      <c r="D208" t="s">
        <v>15</v>
      </c>
      <c r="E208" t="s">
        <v>19</v>
      </c>
      <c r="F208" t="s">
        <v>9</v>
      </c>
    </row>
    <row r="209" spans="1:6" x14ac:dyDescent="0.35">
      <c r="A209">
        <v>208</v>
      </c>
      <c r="B209" t="s">
        <v>229</v>
      </c>
      <c r="C209" t="s">
        <v>16</v>
      </c>
      <c r="D209" t="s">
        <v>7</v>
      </c>
      <c r="E209" t="s">
        <v>17</v>
      </c>
      <c r="F209" t="s">
        <v>13</v>
      </c>
    </row>
    <row r="210" spans="1:6" x14ac:dyDescent="0.35">
      <c r="A210">
        <v>209</v>
      </c>
      <c r="B210" t="s">
        <v>230</v>
      </c>
      <c r="C210" t="s">
        <v>11</v>
      </c>
      <c r="D210" t="s">
        <v>16</v>
      </c>
      <c r="E210" t="s">
        <v>12</v>
      </c>
      <c r="F210" t="s">
        <v>9</v>
      </c>
    </row>
    <row r="211" spans="1:6" x14ac:dyDescent="0.35">
      <c r="A211">
        <v>210</v>
      </c>
      <c r="B211" t="s">
        <v>231</v>
      </c>
      <c r="C211" t="s">
        <v>16</v>
      </c>
      <c r="D211" t="s">
        <v>16</v>
      </c>
      <c r="E211" t="s">
        <v>8</v>
      </c>
      <c r="F211" t="s">
        <v>24</v>
      </c>
    </row>
    <row r="212" spans="1:6" x14ac:dyDescent="0.35">
      <c r="A212">
        <v>211</v>
      </c>
      <c r="B212" t="s">
        <v>232</v>
      </c>
      <c r="C212" t="s">
        <v>15</v>
      </c>
      <c r="D212" t="s">
        <v>11</v>
      </c>
      <c r="E212" t="s">
        <v>23</v>
      </c>
      <c r="F212" t="s">
        <v>13</v>
      </c>
    </row>
    <row r="213" spans="1:6" x14ac:dyDescent="0.35">
      <c r="A213">
        <v>212</v>
      </c>
      <c r="B213" t="s">
        <v>233</v>
      </c>
      <c r="C213" t="s">
        <v>7</v>
      </c>
      <c r="D213" t="s">
        <v>16</v>
      </c>
      <c r="E213" t="s">
        <v>19</v>
      </c>
      <c r="F213" t="s">
        <v>9</v>
      </c>
    </row>
    <row r="214" spans="1:6" x14ac:dyDescent="0.35">
      <c r="A214">
        <v>213</v>
      </c>
      <c r="B214" t="s">
        <v>234</v>
      </c>
      <c r="C214" t="s">
        <v>16</v>
      </c>
      <c r="D214" t="s">
        <v>16</v>
      </c>
      <c r="E214" t="s">
        <v>8</v>
      </c>
      <c r="F214" t="s">
        <v>13</v>
      </c>
    </row>
    <row r="215" spans="1:6" x14ac:dyDescent="0.35">
      <c r="A215">
        <v>214</v>
      </c>
      <c r="B215" t="s">
        <v>235</v>
      </c>
      <c r="C215" t="s">
        <v>7</v>
      </c>
      <c r="D215" t="s">
        <v>7</v>
      </c>
      <c r="E215" t="s">
        <v>19</v>
      </c>
      <c r="F215" t="s">
        <v>13</v>
      </c>
    </row>
    <row r="216" spans="1:6" x14ac:dyDescent="0.35">
      <c r="A216">
        <v>215</v>
      </c>
      <c r="B216" t="s">
        <v>236</v>
      </c>
      <c r="C216" t="s">
        <v>11</v>
      </c>
      <c r="D216" t="s">
        <v>11</v>
      </c>
      <c r="E216" t="s">
        <v>8</v>
      </c>
      <c r="F216" t="s">
        <v>9</v>
      </c>
    </row>
    <row r="217" spans="1:6" x14ac:dyDescent="0.35">
      <c r="A217">
        <v>216</v>
      </c>
      <c r="B217" t="s">
        <v>237</v>
      </c>
      <c r="C217" t="s">
        <v>11</v>
      </c>
      <c r="D217" t="s">
        <v>11</v>
      </c>
      <c r="E217" t="s">
        <v>23</v>
      </c>
      <c r="F217" t="s">
        <v>9</v>
      </c>
    </row>
    <row r="218" spans="1:6" x14ac:dyDescent="0.35">
      <c r="A218">
        <v>217</v>
      </c>
      <c r="B218" t="s">
        <v>238</v>
      </c>
      <c r="C218" t="s">
        <v>7</v>
      </c>
      <c r="D218" t="s">
        <v>7</v>
      </c>
      <c r="E218" t="s">
        <v>19</v>
      </c>
      <c r="F218" t="s">
        <v>24</v>
      </c>
    </row>
    <row r="219" spans="1:6" x14ac:dyDescent="0.35">
      <c r="A219">
        <v>218</v>
      </c>
      <c r="B219" t="s">
        <v>239</v>
      </c>
      <c r="C219" t="s">
        <v>16</v>
      </c>
      <c r="D219" t="s">
        <v>7</v>
      </c>
      <c r="E219" t="s">
        <v>12</v>
      </c>
      <c r="F219" t="s">
        <v>9</v>
      </c>
    </row>
    <row r="220" spans="1:6" x14ac:dyDescent="0.35">
      <c r="A220">
        <v>219</v>
      </c>
      <c r="B220" t="s">
        <v>240</v>
      </c>
      <c r="C220" t="s">
        <v>11</v>
      </c>
      <c r="D220" t="s">
        <v>15</v>
      </c>
      <c r="E220" t="s">
        <v>17</v>
      </c>
      <c r="F220" t="s">
        <v>9</v>
      </c>
    </row>
    <row r="221" spans="1:6" x14ac:dyDescent="0.35">
      <c r="A221">
        <v>220</v>
      </c>
      <c r="B221" t="s">
        <v>241</v>
      </c>
      <c r="C221" t="s">
        <v>16</v>
      </c>
      <c r="D221" t="s">
        <v>7</v>
      </c>
      <c r="E221" t="s">
        <v>12</v>
      </c>
      <c r="F221" t="s">
        <v>13</v>
      </c>
    </row>
    <row r="222" spans="1:6" x14ac:dyDescent="0.35">
      <c r="A222">
        <v>221</v>
      </c>
      <c r="B222" t="s">
        <v>242</v>
      </c>
      <c r="C222" t="s">
        <v>11</v>
      </c>
      <c r="D222" t="s">
        <v>7</v>
      </c>
      <c r="E222" t="s">
        <v>23</v>
      </c>
      <c r="F222" t="s">
        <v>24</v>
      </c>
    </row>
    <row r="223" spans="1:6" x14ac:dyDescent="0.35">
      <c r="A223">
        <v>222</v>
      </c>
      <c r="B223" t="s">
        <v>243</v>
      </c>
      <c r="C223" t="s">
        <v>7</v>
      </c>
      <c r="D223" t="s">
        <v>15</v>
      </c>
      <c r="E223" t="s">
        <v>12</v>
      </c>
      <c r="F223" t="s">
        <v>9</v>
      </c>
    </row>
    <row r="224" spans="1:6" x14ac:dyDescent="0.35">
      <c r="A224">
        <v>223</v>
      </c>
      <c r="B224" t="s">
        <v>244</v>
      </c>
      <c r="C224" t="s">
        <v>16</v>
      </c>
      <c r="D224" t="s">
        <v>16</v>
      </c>
      <c r="E224" t="s">
        <v>12</v>
      </c>
      <c r="F224" t="s">
        <v>24</v>
      </c>
    </row>
    <row r="225" spans="1:6" x14ac:dyDescent="0.35">
      <c r="A225">
        <v>224</v>
      </c>
      <c r="B225" t="s">
        <v>245</v>
      </c>
      <c r="C225" t="s">
        <v>15</v>
      </c>
      <c r="D225" t="s">
        <v>16</v>
      </c>
      <c r="E225" t="s">
        <v>17</v>
      </c>
      <c r="F225" t="s">
        <v>13</v>
      </c>
    </row>
    <row r="226" spans="1:6" x14ac:dyDescent="0.35">
      <c r="A226">
        <v>225</v>
      </c>
      <c r="B226" t="s">
        <v>246</v>
      </c>
      <c r="C226" t="s">
        <v>15</v>
      </c>
      <c r="D226" t="s">
        <v>11</v>
      </c>
      <c r="E226" t="s">
        <v>17</v>
      </c>
      <c r="F226" t="s">
        <v>9</v>
      </c>
    </row>
    <row r="227" spans="1:6" x14ac:dyDescent="0.35">
      <c r="A227">
        <v>226</v>
      </c>
      <c r="B227" t="s">
        <v>247</v>
      </c>
      <c r="C227" t="s">
        <v>7</v>
      </c>
      <c r="D227" t="s">
        <v>7</v>
      </c>
      <c r="E227" t="s">
        <v>17</v>
      </c>
      <c r="F227" t="s">
        <v>13</v>
      </c>
    </row>
    <row r="228" spans="1:6" x14ac:dyDescent="0.35">
      <c r="A228">
        <v>227</v>
      </c>
      <c r="B228" t="s">
        <v>248</v>
      </c>
      <c r="C228" t="s">
        <v>15</v>
      </c>
      <c r="D228" t="s">
        <v>16</v>
      </c>
      <c r="E228" t="s">
        <v>23</v>
      </c>
      <c r="F228" t="s">
        <v>13</v>
      </c>
    </row>
    <row r="229" spans="1:6" x14ac:dyDescent="0.35">
      <c r="A229">
        <v>228</v>
      </c>
      <c r="B229" t="s">
        <v>249</v>
      </c>
      <c r="C229" t="s">
        <v>15</v>
      </c>
      <c r="D229" t="s">
        <v>16</v>
      </c>
      <c r="E229" t="s">
        <v>23</v>
      </c>
      <c r="F229" t="s">
        <v>24</v>
      </c>
    </row>
    <row r="230" spans="1:6" x14ac:dyDescent="0.35">
      <c r="A230">
        <v>229</v>
      </c>
      <c r="B230" t="s">
        <v>250</v>
      </c>
      <c r="C230" t="s">
        <v>16</v>
      </c>
      <c r="D230" t="s">
        <v>16</v>
      </c>
      <c r="E230" t="s">
        <v>17</v>
      </c>
      <c r="F230" t="s">
        <v>13</v>
      </c>
    </row>
    <row r="231" spans="1:6" x14ac:dyDescent="0.35">
      <c r="A231">
        <v>230</v>
      </c>
      <c r="B231" t="s">
        <v>251</v>
      </c>
      <c r="C231" t="s">
        <v>7</v>
      </c>
      <c r="D231" t="s">
        <v>11</v>
      </c>
      <c r="E231" t="s">
        <v>12</v>
      </c>
      <c r="F231" t="s">
        <v>13</v>
      </c>
    </row>
    <row r="232" spans="1:6" x14ac:dyDescent="0.35">
      <c r="A232">
        <v>231</v>
      </c>
      <c r="B232" t="s">
        <v>252</v>
      </c>
      <c r="C232" t="s">
        <v>15</v>
      </c>
      <c r="D232" t="s">
        <v>7</v>
      </c>
      <c r="E232" t="s">
        <v>19</v>
      </c>
      <c r="F232" t="s">
        <v>13</v>
      </c>
    </row>
    <row r="233" spans="1:6" x14ac:dyDescent="0.35">
      <c r="A233">
        <v>232</v>
      </c>
      <c r="B233" t="s">
        <v>253</v>
      </c>
      <c r="C233" t="s">
        <v>7</v>
      </c>
      <c r="D233" t="s">
        <v>7</v>
      </c>
      <c r="E233" t="s">
        <v>19</v>
      </c>
      <c r="F233" t="s">
        <v>13</v>
      </c>
    </row>
    <row r="234" spans="1:6" x14ac:dyDescent="0.35">
      <c r="A234">
        <v>233</v>
      </c>
      <c r="B234" t="s">
        <v>254</v>
      </c>
      <c r="C234" t="s">
        <v>16</v>
      </c>
      <c r="D234" t="s">
        <v>15</v>
      </c>
      <c r="E234" t="s">
        <v>17</v>
      </c>
      <c r="F234" t="s">
        <v>13</v>
      </c>
    </row>
    <row r="235" spans="1:6" x14ac:dyDescent="0.35">
      <c r="A235">
        <v>234</v>
      </c>
      <c r="B235" t="s">
        <v>255</v>
      </c>
      <c r="C235" t="s">
        <v>7</v>
      </c>
      <c r="D235" t="s">
        <v>7</v>
      </c>
      <c r="E235" t="s">
        <v>12</v>
      </c>
      <c r="F235" t="s">
        <v>13</v>
      </c>
    </row>
    <row r="236" spans="1:6" x14ac:dyDescent="0.35">
      <c r="A236">
        <v>235</v>
      </c>
      <c r="B236" t="s">
        <v>256</v>
      </c>
      <c r="C236" t="s">
        <v>7</v>
      </c>
      <c r="D236" t="s">
        <v>7</v>
      </c>
      <c r="E236" t="s">
        <v>23</v>
      </c>
      <c r="F236" t="s">
        <v>13</v>
      </c>
    </row>
    <row r="237" spans="1:6" x14ac:dyDescent="0.35">
      <c r="A237">
        <v>236</v>
      </c>
      <c r="B237" t="s">
        <v>257</v>
      </c>
      <c r="C237" t="s">
        <v>16</v>
      </c>
      <c r="D237" t="s">
        <v>15</v>
      </c>
      <c r="E237" t="s">
        <v>17</v>
      </c>
      <c r="F237" t="s">
        <v>13</v>
      </c>
    </row>
    <row r="238" spans="1:6" x14ac:dyDescent="0.35">
      <c r="A238">
        <v>237</v>
      </c>
      <c r="B238" t="s">
        <v>258</v>
      </c>
      <c r="C238" t="s">
        <v>11</v>
      </c>
      <c r="D238" t="s">
        <v>16</v>
      </c>
      <c r="E238" t="s">
        <v>12</v>
      </c>
      <c r="F238" t="s">
        <v>13</v>
      </c>
    </row>
    <row r="239" spans="1:6" x14ac:dyDescent="0.35">
      <c r="A239">
        <v>238</v>
      </c>
      <c r="B239" t="s">
        <v>259</v>
      </c>
      <c r="C239" t="s">
        <v>7</v>
      </c>
      <c r="D239" t="s">
        <v>16</v>
      </c>
      <c r="E239" t="s">
        <v>12</v>
      </c>
      <c r="F239" t="s">
        <v>9</v>
      </c>
    </row>
    <row r="240" spans="1:6" x14ac:dyDescent="0.35">
      <c r="A240">
        <v>239</v>
      </c>
      <c r="B240" t="s">
        <v>260</v>
      </c>
      <c r="C240" t="s">
        <v>15</v>
      </c>
      <c r="D240" t="s">
        <v>16</v>
      </c>
      <c r="E240" t="s">
        <v>17</v>
      </c>
      <c r="F240" t="s">
        <v>13</v>
      </c>
    </row>
    <row r="241" spans="1:6" x14ac:dyDescent="0.35">
      <c r="A241">
        <v>240</v>
      </c>
      <c r="B241" t="s">
        <v>261</v>
      </c>
      <c r="C241" t="s">
        <v>7</v>
      </c>
      <c r="D241" t="s">
        <v>15</v>
      </c>
      <c r="E241" t="s">
        <v>12</v>
      </c>
      <c r="F241" t="s">
        <v>13</v>
      </c>
    </row>
    <row r="242" spans="1:6" x14ac:dyDescent="0.35">
      <c r="A242">
        <v>241</v>
      </c>
      <c r="B242" t="s">
        <v>262</v>
      </c>
      <c r="C242" t="s">
        <v>7</v>
      </c>
      <c r="D242" t="s">
        <v>15</v>
      </c>
      <c r="E242" t="s">
        <v>12</v>
      </c>
      <c r="F242" t="s">
        <v>9</v>
      </c>
    </row>
    <row r="243" spans="1:6" x14ac:dyDescent="0.35">
      <c r="A243">
        <v>242</v>
      </c>
      <c r="B243" t="s">
        <v>263</v>
      </c>
      <c r="C243" t="s">
        <v>15</v>
      </c>
      <c r="D243" t="s">
        <v>7</v>
      </c>
      <c r="E243" t="s">
        <v>19</v>
      </c>
      <c r="F243" t="s">
        <v>13</v>
      </c>
    </row>
    <row r="244" spans="1:6" x14ac:dyDescent="0.35">
      <c r="A244">
        <v>243</v>
      </c>
      <c r="B244" t="s">
        <v>264</v>
      </c>
      <c r="C244" t="s">
        <v>16</v>
      </c>
      <c r="D244" t="s">
        <v>15</v>
      </c>
      <c r="E244" t="s">
        <v>23</v>
      </c>
      <c r="F244" t="s">
        <v>13</v>
      </c>
    </row>
    <row r="245" spans="1:6" x14ac:dyDescent="0.35">
      <c r="A245">
        <v>244</v>
      </c>
      <c r="B245" t="s">
        <v>265</v>
      </c>
      <c r="C245" t="s">
        <v>15</v>
      </c>
      <c r="D245" t="s">
        <v>15</v>
      </c>
      <c r="E245" t="s">
        <v>17</v>
      </c>
      <c r="F245" t="s">
        <v>13</v>
      </c>
    </row>
    <row r="246" spans="1:6" x14ac:dyDescent="0.35">
      <c r="A246">
        <v>245</v>
      </c>
      <c r="B246" t="s">
        <v>266</v>
      </c>
      <c r="C246" t="s">
        <v>16</v>
      </c>
      <c r="D246" t="s">
        <v>11</v>
      </c>
      <c r="E246" t="s">
        <v>17</v>
      </c>
      <c r="F246" t="s">
        <v>13</v>
      </c>
    </row>
    <row r="247" spans="1:6" x14ac:dyDescent="0.35">
      <c r="A247">
        <v>246</v>
      </c>
      <c r="B247" t="s">
        <v>267</v>
      </c>
      <c r="C247" t="s">
        <v>16</v>
      </c>
      <c r="D247" t="s">
        <v>15</v>
      </c>
      <c r="E247" t="s">
        <v>19</v>
      </c>
      <c r="F247" t="s">
        <v>13</v>
      </c>
    </row>
    <row r="248" spans="1:6" x14ac:dyDescent="0.35">
      <c r="A248">
        <v>247</v>
      </c>
      <c r="B248" t="s">
        <v>268</v>
      </c>
      <c r="C248" t="s">
        <v>11</v>
      </c>
      <c r="D248" t="s">
        <v>16</v>
      </c>
      <c r="E248" t="s">
        <v>12</v>
      </c>
      <c r="F248" t="s">
        <v>24</v>
      </c>
    </row>
    <row r="249" spans="1:6" x14ac:dyDescent="0.35">
      <c r="A249">
        <v>248</v>
      </c>
      <c r="B249" t="s">
        <v>269</v>
      </c>
      <c r="C249" t="s">
        <v>15</v>
      </c>
      <c r="D249" t="s">
        <v>15</v>
      </c>
      <c r="E249" t="s">
        <v>23</v>
      </c>
      <c r="F249" t="s">
        <v>9</v>
      </c>
    </row>
    <row r="250" spans="1:6" x14ac:dyDescent="0.35">
      <c r="A250">
        <v>249</v>
      </c>
      <c r="B250" t="s">
        <v>270</v>
      </c>
      <c r="C250" t="s">
        <v>7</v>
      </c>
      <c r="D250" t="s">
        <v>11</v>
      </c>
      <c r="E250" t="s">
        <v>12</v>
      </c>
      <c r="F250" t="s">
        <v>13</v>
      </c>
    </row>
    <row r="251" spans="1:6" x14ac:dyDescent="0.35">
      <c r="A251">
        <v>250</v>
      </c>
      <c r="B251" t="s">
        <v>271</v>
      </c>
      <c r="C251" t="s">
        <v>16</v>
      </c>
      <c r="D251" t="s">
        <v>11</v>
      </c>
      <c r="E251" t="s">
        <v>12</v>
      </c>
      <c r="F251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5F95-2C17-4B30-BF5C-1B13FBB511F0}">
  <dimension ref="A1:K250"/>
  <sheetViews>
    <sheetView topLeftCell="A227" workbookViewId="0">
      <selection activeCell="H2" sqref="H2:L250"/>
    </sheetView>
  </sheetViews>
  <sheetFormatPr defaultRowHeight="14.5" x14ac:dyDescent="0.35"/>
  <cols>
    <col min="1" max="1" width="14.54296875" bestFit="1" customWidth="1"/>
    <col min="2" max="2" width="15.81640625" bestFit="1" customWidth="1"/>
    <col min="3" max="3" width="18.81640625" bestFit="1" customWidth="1"/>
    <col min="4" max="4" width="16.81640625" bestFit="1" customWidth="1"/>
    <col min="5" max="5" width="18.90625" bestFit="1" customWidth="1"/>
    <col min="6" max="6" width="18.54296875" bestFit="1" customWidth="1"/>
    <col min="7" max="7" width="18.26953125" customWidth="1"/>
    <col min="8" max="8" width="18.90625" customWidth="1"/>
    <col min="9" max="9" width="20.7265625" customWidth="1"/>
    <col min="10" max="10" width="19.26953125" customWidth="1"/>
    <col min="11" max="11" width="15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272</v>
      </c>
      <c r="H1" t="s">
        <v>273</v>
      </c>
      <c r="I1" t="s">
        <v>274</v>
      </c>
      <c r="J1" t="s">
        <v>275</v>
      </c>
      <c r="K1" t="s">
        <v>276</v>
      </c>
    </row>
    <row r="2" spans="1:11" x14ac:dyDescent="0.35">
      <c r="A2">
        <v>1</v>
      </c>
      <c r="B2" t="s">
        <v>6</v>
      </c>
      <c r="C2" t="s">
        <v>7</v>
      </c>
      <c r="D2" t="s">
        <v>7</v>
      </c>
      <c r="E2" t="s">
        <v>8</v>
      </c>
      <c r="F2" t="s">
        <v>9</v>
      </c>
      <c r="G2" t="str">
        <f t="shared" ref="G2:G64" si="0">IF(AND(LEN(B2)=8, ISNUMBER(VALUE(RIGHT(B2,6)))), "Valid", "Invalid")</f>
        <v>Valid</v>
      </c>
      <c r="H2" t="str">
        <f>PROPER(TRIM(C2))</f>
        <v>Service First</v>
      </c>
      <c r="I2" t="str">
        <f t="shared" ref="I2:I65" si="1">IF(E2="PolicyHolder","Policy Holder",PROPER(TRIM(E2)))</f>
        <v>Policy Holder</v>
      </c>
      <c r="J2" t="str">
        <f t="shared" ref="J2:J65" si="2">IF(D2="", "Unknown", D2)</f>
        <v>Service First</v>
      </c>
      <c r="K2" t="str">
        <f t="shared" ref="K2:K65" si="3">IF(F2="Poor Comm","Poor Communication",PROPER(TRIM(F2)))</f>
        <v>Misinformation</v>
      </c>
    </row>
    <row r="3" spans="1:11" x14ac:dyDescent="0.35">
      <c r="A3">
        <v>2</v>
      </c>
      <c r="B3" t="s">
        <v>10</v>
      </c>
      <c r="C3" t="s">
        <v>7</v>
      </c>
      <c r="D3" t="s">
        <v>11</v>
      </c>
      <c r="E3" t="s">
        <v>12</v>
      </c>
      <c r="F3" t="s">
        <v>13</v>
      </c>
      <c r="G3" t="str">
        <f t="shared" si="0"/>
        <v>Valid</v>
      </c>
      <c r="H3" t="str">
        <f t="shared" ref="H3:H66" si="4">PROPER(TRIM(C3))</f>
        <v>Service First</v>
      </c>
      <c r="I3" t="str">
        <f t="shared" si="1"/>
        <v>Servicing Agent</v>
      </c>
      <c r="J3" t="str">
        <f t="shared" si="2"/>
        <v>Drawdown</v>
      </c>
      <c r="K3" t="str">
        <f t="shared" si="3"/>
        <v>Poor Communication</v>
      </c>
    </row>
    <row r="4" spans="1:11" x14ac:dyDescent="0.35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13</v>
      </c>
      <c r="G4" t="str">
        <f t="shared" si="0"/>
        <v>Valid</v>
      </c>
      <c r="H4" t="str">
        <f t="shared" si="4"/>
        <v>Workplace Pension</v>
      </c>
      <c r="I4" t="str">
        <f t="shared" si="1"/>
        <v>Lawyer</v>
      </c>
      <c r="J4" t="str">
        <f t="shared" si="2"/>
        <v>Annuity</v>
      </c>
      <c r="K4" t="str">
        <f t="shared" si="3"/>
        <v>Poor Communication</v>
      </c>
    </row>
    <row r="5" spans="1:11" x14ac:dyDescent="0.35">
      <c r="A5">
        <v>4</v>
      </c>
      <c r="B5" t="s">
        <v>18</v>
      </c>
      <c r="C5" t="s">
        <v>7</v>
      </c>
      <c r="D5" t="s">
        <v>15</v>
      </c>
      <c r="E5" t="s">
        <v>19</v>
      </c>
      <c r="F5" t="s">
        <v>13</v>
      </c>
      <c r="G5" t="str">
        <f t="shared" si="0"/>
        <v>Valid</v>
      </c>
      <c r="H5" t="str">
        <f t="shared" si="4"/>
        <v>Service First</v>
      </c>
      <c r="I5" t="str">
        <f t="shared" si="1"/>
        <v>Financial Adviser</v>
      </c>
      <c r="J5" t="str">
        <f t="shared" si="2"/>
        <v>Workplace Pension</v>
      </c>
      <c r="K5" t="str">
        <f t="shared" si="3"/>
        <v>Poor Communication</v>
      </c>
    </row>
    <row r="6" spans="1:11" x14ac:dyDescent="0.35">
      <c r="A6">
        <v>5</v>
      </c>
      <c r="B6" t="s">
        <v>20</v>
      </c>
      <c r="C6" t="s">
        <v>7</v>
      </c>
      <c r="D6" t="s">
        <v>16</v>
      </c>
      <c r="E6" t="s">
        <v>8</v>
      </c>
      <c r="F6" t="s">
        <v>13</v>
      </c>
      <c r="G6" t="str">
        <f t="shared" si="0"/>
        <v>Valid</v>
      </c>
      <c r="H6" t="str">
        <f t="shared" si="4"/>
        <v>Service First</v>
      </c>
      <c r="I6" t="str">
        <f t="shared" si="1"/>
        <v>Policy Holder</v>
      </c>
      <c r="J6" t="str">
        <f t="shared" si="2"/>
        <v>Annuity</v>
      </c>
      <c r="K6" t="str">
        <f t="shared" si="3"/>
        <v>Poor Communication</v>
      </c>
    </row>
    <row r="7" spans="1:11" x14ac:dyDescent="0.35">
      <c r="A7">
        <v>6</v>
      </c>
      <c r="B7" t="s">
        <v>21</v>
      </c>
      <c r="C7" t="s">
        <v>7</v>
      </c>
      <c r="D7" t="s">
        <v>7</v>
      </c>
      <c r="E7" t="s">
        <v>17</v>
      </c>
      <c r="F7" t="s">
        <v>13</v>
      </c>
      <c r="G7" t="str">
        <f t="shared" si="0"/>
        <v>Valid</v>
      </c>
      <c r="H7" t="str">
        <f t="shared" si="4"/>
        <v>Service First</v>
      </c>
      <c r="I7" t="str">
        <f t="shared" si="1"/>
        <v>Lawyer</v>
      </c>
      <c r="J7" t="str">
        <f t="shared" si="2"/>
        <v>Service First</v>
      </c>
      <c r="K7" t="str">
        <f t="shared" si="3"/>
        <v>Poor Communication</v>
      </c>
    </row>
    <row r="8" spans="1:11" x14ac:dyDescent="0.35">
      <c r="A8">
        <v>7</v>
      </c>
      <c r="B8" t="s">
        <v>22</v>
      </c>
      <c r="C8" t="s">
        <v>11</v>
      </c>
      <c r="D8" t="s">
        <v>16</v>
      </c>
      <c r="E8" t="s">
        <v>23</v>
      </c>
      <c r="F8" t="s">
        <v>24</v>
      </c>
      <c r="G8" t="str">
        <f t="shared" si="0"/>
        <v>Valid</v>
      </c>
      <c r="H8" t="str">
        <f t="shared" si="4"/>
        <v>Drawdown</v>
      </c>
      <c r="I8" t="str">
        <f t="shared" si="1"/>
        <v>Attorney</v>
      </c>
      <c r="J8" t="str">
        <f t="shared" si="2"/>
        <v>Annuity</v>
      </c>
      <c r="K8" t="str">
        <f t="shared" si="3"/>
        <v>Delayed Response</v>
      </c>
    </row>
    <row r="9" spans="1:11" x14ac:dyDescent="0.35">
      <c r="A9">
        <v>8</v>
      </c>
      <c r="B9" t="s">
        <v>25</v>
      </c>
      <c r="C9" t="s">
        <v>11</v>
      </c>
      <c r="D9" t="s">
        <v>7</v>
      </c>
      <c r="E9" t="s">
        <v>19</v>
      </c>
      <c r="F9" t="s">
        <v>9</v>
      </c>
      <c r="G9" t="str">
        <f t="shared" si="0"/>
        <v>Valid</v>
      </c>
      <c r="H9" t="str">
        <f t="shared" si="4"/>
        <v>Drawdown</v>
      </c>
      <c r="I9" t="str">
        <f t="shared" si="1"/>
        <v>Financial Adviser</v>
      </c>
      <c r="J9" t="str">
        <f t="shared" si="2"/>
        <v>Service First</v>
      </c>
      <c r="K9" t="str">
        <f t="shared" si="3"/>
        <v>Misinformation</v>
      </c>
    </row>
    <row r="10" spans="1:11" x14ac:dyDescent="0.35">
      <c r="A10">
        <v>9</v>
      </c>
      <c r="B10" t="s">
        <v>26</v>
      </c>
      <c r="C10" t="s">
        <v>7</v>
      </c>
      <c r="D10" t="s">
        <v>11</v>
      </c>
      <c r="E10" t="s">
        <v>17</v>
      </c>
      <c r="F10" t="s">
        <v>13</v>
      </c>
      <c r="G10" t="str">
        <f t="shared" si="0"/>
        <v>Valid</v>
      </c>
      <c r="H10" t="str">
        <f t="shared" si="4"/>
        <v>Service First</v>
      </c>
      <c r="I10" t="str">
        <f t="shared" si="1"/>
        <v>Lawyer</v>
      </c>
      <c r="J10" t="str">
        <f t="shared" si="2"/>
        <v>Drawdown</v>
      </c>
      <c r="K10" t="str">
        <f t="shared" si="3"/>
        <v>Poor Communication</v>
      </c>
    </row>
    <row r="11" spans="1:11" x14ac:dyDescent="0.35">
      <c r="A11">
        <v>10</v>
      </c>
      <c r="B11" t="s">
        <v>27</v>
      </c>
      <c r="C11" t="s">
        <v>11</v>
      </c>
      <c r="D11" t="s">
        <v>7</v>
      </c>
      <c r="E11" t="s">
        <v>23</v>
      </c>
      <c r="F11" t="s">
        <v>24</v>
      </c>
      <c r="G11" t="str">
        <f t="shared" si="0"/>
        <v>Valid</v>
      </c>
      <c r="H11" t="str">
        <f t="shared" si="4"/>
        <v>Drawdown</v>
      </c>
      <c r="I11" t="str">
        <f t="shared" si="1"/>
        <v>Attorney</v>
      </c>
      <c r="J11" t="str">
        <f t="shared" si="2"/>
        <v>Service First</v>
      </c>
      <c r="K11" t="str">
        <f t="shared" si="3"/>
        <v>Delayed Response</v>
      </c>
    </row>
    <row r="12" spans="1:11" x14ac:dyDescent="0.35">
      <c r="A12">
        <v>11</v>
      </c>
      <c r="B12" t="s">
        <v>28</v>
      </c>
      <c r="C12" t="s">
        <v>29</v>
      </c>
      <c r="D12" t="s">
        <v>11</v>
      </c>
      <c r="E12" t="s">
        <v>19</v>
      </c>
      <c r="F12" t="s">
        <v>13</v>
      </c>
      <c r="G12" t="str">
        <f t="shared" si="0"/>
        <v>Valid</v>
      </c>
      <c r="H12" t="str">
        <f t="shared" si="4"/>
        <v>Service First</v>
      </c>
      <c r="I12" t="str">
        <f t="shared" si="1"/>
        <v>Financial Adviser</v>
      </c>
      <c r="J12" t="str">
        <f t="shared" si="2"/>
        <v>Drawdown</v>
      </c>
      <c r="K12" t="str">
        <f t="shared" si="3"/>
        <v>Poor Communication</v>
      </c>
    </row>
    <row r="13" spans="1:11" x14ac:dyDescent="0.35">
      <c r="A13">
        <v>12</v>
      </c>
      <c r="B13" t="s">
        <v>30</v>
      </c>
      <c r="C13" t="s">
        <v>15</v>
      </c>
      <c r="D13" t="s">
        <v>7</v>
      </c>
      <c r="E13" t="s">
        <v>19</v>
      </c>
      <c r="F13" t="s">
        <v>13</v>
      </c>
      <c r="G13" t="str">
        <f t="shared" si="0"/>
        <v>Valid</v>
      </c>
      <c r="H13" t="str">
        <f t="shared" si="4"/>
        <v>Workplace Pension</v>
      </c>
      <c r="I13" t="str">
        <f t="shared" si="1"/>
        <v>Financial Adviser</v>
      </c>
      <c r="J13" t="str">
        <f t="shared" si="2"/>
        <v>Service First</v>
      </c>
      <c r="K13" t="str">
        <f t="shared" si="3"/>
        <v>Poor Communication</v>
      </c>
    </row>
    <row r="14" spans="1:11" x14ac:dyDescent="0.35">
      <c r="A14">
        <v>13</v>
      </c>
      <c r="B14" t="s">
        <v>31</v>
      </c>
      <c r="C14" t="s">
        <v>7</v>
      </c>
      <c r="D14" t="s">
        <v>11</v>
      </c>
      <c r="E14" t="s">
        <v>23</v>
      </c>
      <c r="F14" t="s">
        <v>13</v>
      </c>
      <c r="G14" t="str">
        <f t="shared" si="0"/>
        <v>Valid</v>
      </c>
      <c r="H14" t="str">
        <f t="shared" si="4"/>
        <v>Service First</v>
      </c>
      <c r="I14" t="str">
        <f t="shared" si="1"/>
        <v>Attorney</v>
      </c>
      <c r="J14" t="str">
        <f t="shared" si="2"/>
        <v>Drawdown</v>
      </c>
      <c r="K14" t="str">
        <f t="shared" si="3"/>
        <v>Poor Communication</v>
      </c>
    </row>
    <row r="15" spans="1:11" x14ac:dyDescent="0.35">
      <c r="A15">
        <v>14</v>
      </c>
      <c r="B15" t="s">
        <v>32</v>
      </c>
      <c r="C15" t="s">
        <v>11</v>
      </c>
      <c r="D15" t="s">
        <v>16</v>
      </c>
      <c r="E15" t="s">
        <v>23</v>
      </c>
      <c r="F15" t="s">
        <v>24</v>
      </c>
      <c r="G15" t="str">
        <f t="shared" si="0"/>
        <v>Valid</v>
      </c>
      <c r="H15" t="str">
        <f t="shared" si="4"/>
        <v>Drawdown</v>
      </c>
      <c r="I15" t="str">
        <f t="shared" si="1"/>
        <v>Attorney</v>
      </c>
      <c r="J15" t="str">
        <f t="shared" si="2"/>
        <v>Annuity</v>
      </c>
      <c r="K15" t="str">
        <f t="shared" si="3"/>
        <v>Delayed Response</v>
      </c>
    </row>
    <row r="16" spans="1:11" x14ac:dyDescent="0.35">
      <c r="A16">
        <v>15</v>
      </c>
      <c r="B16" t="s">
        <v>33</v>
      </c>
      <c r="C16" t="s">
        <v>7</v>
      </c>
      <c r="D16" t="s">
        <v>7</v>
      </c>
      <c r="E16" t="s">
        <v>23</v>
      </c>
      <c r="F16" t="s">
        <v>24</v>
      </c>
      <c r="G16" t="str">
        <f t="shared" si="0"/>
        <v>Valid</v>
      </c>
      <c r="H16" t="str">
        <f t="shared" si="4"/>
        <v>Service First</v>
      </c>
      <c r="I16" t="str">
        <f t="shared" si="1"/>
        <v>Attorney</v>
      </c>
      <c r="J16" t="str">
        <f t="shared" si="2"/>
        <v>Service First</v>
      </c>
      <c r="K16" t="str">
        <f t="shared" si="3"/>
        <v>Delayed Response</v>
      </c>
    </row>
    <row r="17" spans="1:11" x14ac:dyDescent="0.35">
      <c r="A17">
        <v>16</v>
      </c>
      <c r="B17" t="s">
        <v>34</v>
      </c>
      <c r="C17" t="s">
        <v>15</v>
      </c>
      <c r="D17" t="s">
        <v>15</v>
      </c>
      <c r="E17" t="s">
        <v>12</v>
      </c>
      <c r="F17" t="s">
        <v>9</v>
      </c>
      <c r="G17" t="str">
        <f t="shared" si="0"/>
        <v>Valid</v>
      </c>
      <c r="H17" t="str">
        <f t="shared" si="4"/>
        <v>Workplace Pension</v>
      </c>
      <c r="I17" t="str">
        <f t="shared" si="1"/>
        <v>Servicing Agent</v>
      </c>
      <c r="J17" t="str">
        <f t="shared" si="2"/>
        <v>Workplace Pension</v>
      </c>
      <c r="K17" t="str">
        <f t="shared" si="3"/>
        <v>Misinformation</v>
      </c>
    </row>
    <row r="18" spans="1:11" x14ac:dyDescent="0.35">
      <c r="A18">
        <v>17</v>
      </c>
      <c r="B18" t="s">
        <v>35</v>
      </c>
      <c r="C18" t="s">
        <v>16</v>
      </c>
      <c r="D18" t="s">
        <v>7</v>
      </c>
      <c r="E18" t="s">
        <v>17</v>
      </c>
      <c r="F18" t="s">
        <v>13</v>
      </c>
      <c r="G18" t="str">
        <f t="shared" si="0"/>
        <v>Valid</v>
      </c>
      <c r="H18" t="str">
        <f t="shared" si="4"/>
        <v>Annuity</v>
      </c>
      <c r="I18" t="str">
        <f t="shared" si="1"/>
        <v>Lawyer</v>
      </c>
      <c r="J18" t="str">
        <f t="shared" si="2"/>
        <v>Service First</v>
      </c>
      <c r="K18" t="str">
        <f t="shared" si="3"/>
        <v>Poor Communication</v>
      </c>
    </row>
    <row r="19" spans="1:11" x14ac:dyDescent="0.35">
      <c r="A19">
        <v>18</v>
      </c>
      <c r="B19" t="s">
        <v>36</v>
      </c>
      <c r="C19" t="s">
        <v>15</v>
      </c>
      <c r="D19" t="s">
        <v>15</v>
      </c>
      <c r="E19" t="s">
        <v>17</v>
      </c>
      <c r="F19" t="s">
        <v>13</v>
      </c>
      <c r="G19" t="str">
        <f t="shared" si="0"/>
        <v>Valid</v>
      </c>
      <c r="H19" t="str">
        <f t="shared" si="4"/>
        <v>Workplace Pension</v>
      </c>
      <c r="I19" t="str">
        <f t="shared" si="1"/>
        <v>Lawyer</v>
      </c>
      <c r="J19" t="str">
        <f t="shared" si="2"/>
        <v>Workplace Pension</v>
      </c>
      <c r="K19" t="str">
        <f t="shared" si="3"/>
        <v>Poor Communication</v>
      </c>
    </row>
    <row r="20" spans="1:11" x14ac:dyDescent="0.35">
      <c r="A20">
        <v>19</v>
      </c>
      <c r="B20" t="s">
        <v>37</v>
      </c>
      <c r="C20" t="s">
        <v>11</v>
      </c>
      <c r="D20" t="s">
        <v>15</v>
      </c>
      <c r="E20" t="s">
        <v>19</v>
      </c>
      <c r="F20" t="s">
        <v>24</v>
      </c>
      <c r="G20" t="str">
        <f t="shared" si="0"/>
        <v>Valid</v>
      </c>
      <c r="H20" t="str">
        <f t="shared" si="4"/>
        <v>Drawdown</v>
      </c>
      <c r="I20" t="str">
        <f t="shared" si="1"/>
        <v>Financial Adviser</v>
      </c>
      <c r="J20" t="str">
        <f t="shared" si="2"/>
        <v>Workplace Pension</v>
      </c>
      <c r="K20" t="str">
        <f t="shared" si="3"/>
        <v>Delayed Response</v>
      </c>
    </row>
    <row r="21" spans="1:11" x14ac:dyDescent="0.35">
      <c r="A21">
        <v>20</v>
      </c>
      <c r="B21" t="s">
        <v>38</v>
      </c>
      <c r="C21" t="s">
        <v>15</v>
      </c>
      <c r="D21" t="s">
        <v>7</v>
      </c>
      <c r="E21" t="s">
        <v>23</v>
      </c>
      <c r="F21" t="s">
        <v>13</v>
      </c>
      <c r="G21" t="str">
        <f t="shared" si="0"/>
        <v>Valid</v>
      </c>
      <c r="H21" t="str">
        <f t="shared" si="4"/>
        <v>Workplace Pension</v>
      </c>
      <c r="I21" t="str">
        <f t="shared" si="1"/>
        <v>Attorney</v>
      </c>
      <c r="J21" t="str">
        <f t="shared" si="2"/>
        <v>Service First</v>
      </c>
      <c r="K21" t="str">
        <f t="shared" si="3"/>
        <v>Poor Communication</v>
      </c>
    </row>
    <row r="22" spans="1:11" x14ac:dyDescent="0.35">
      <c r="A22">
        <v>21</v>
      </c>
      <c r="B22" t="s">
        <v>39</v>
      </c>
      <c r="C22" t="s">
        <v>15</v>
      </c>
      <c r="D22" t="s">
        <v>40</v>
      </c>
      <c r="E22" t="s">
        <v>19</v>
      </c>
      <c r="F22" t="s">
        <v>13</v>
      </c>
      <c r="G22" t="str">
        <f t="shared" si="0"/>
        <v>Valid</v>
      </c>
      <c r="H22" t="str">
        <f t="shared" si="4"/>
        <v>Workplace Pension</v>
      </c>
      <c r="I22" t="str">
        <f t="shared" si="1"/>
        <v>Financial Adviser</v>
      </c>
      <c r="J22" t="str">
        <f t="shared" si="2"/>
        <v>Unknown</v>
      </c>
      <c r="K22" t="str">
        <f t="shared" si="3"/>
        <v>Poor Communication</v>
      </c>
    </row>
    <row r="23" spans="1:11" x14ac:dyDescent="0.35">
      <c r="A23">
        <v>22</v>
      </c>
      <c r="B23" t="s">
        <v>41</v>
      </c>
      <c r="C23" t="s">
        <v>7</v>
      </c>
      <c r="D23" t="s">
        <v>16</v>
      </c>
      <c r="E23" t="s">
        <v>17</v>
      </c>
      <c r="F23" t="s">
        <v>13</v>
      </c>
      <c r="G23" t="str">
        <f t="shared" si="0"/>
        <v>Valid</v>
      </c>
      <c r="H23" t="str">
        <f t="shared" si="4"/>
        <v>Service First</v>
      </c>
      <c r="I23" t="str">
        <f t="shared" si="1"/>
        <v>Lawyer</v>
      </c>
      <c r="J23" t="str">
        <f t="shared" si="2"/>
        <v>Annuity</v>
      </c>
      <c r="K23" t="str">
        <f t="shared" si="3"/>
        <v>Poor Communication</v>
      </c>
    </row>
    <row r="24" spans="1:11" x14ac:dyDescent="0.35">
      <c r="A24">
        <v>23</v>
      </c>
      <c r="B24" t="s">
        <v>42</v>
      </c>
      <c r="C24" t="s">
        <v>15</v>
      </c>
      <c r="D24" t="s">
        <v>16</v>
      </c>
      <c r="E24" t="s">
        <v>8</v>
      </c>
      <c r="F24" t="s">
        <v>24</v>
      </c>
      <c r="G24" t="str">
        <f t="shared" si="0"/>
        <v>Valid</v>
      </c>
      <c r="H24" t="str">
        <f t="shared" si="4"/>
        <v>Workplace Pension</v>
      </c>
      <c r="I24" t="str">
        <f t="shared" si="1"/>
        <v>Policy Holder</v>
      </c>
      <c r="J24" t="str">
        <f t="shared" si="2"/>
        <v>Annuity</v>
      </c>
      <c r="K24" t="str">
        <f t="shared" si="3"/>
        <v>Delayed Response</v>
      </c>
    </row>
    <row r="25" spans="1:11" x14ac:dyDescent="0.35">
      <c r="A25">
        <v>24</v>
      </c>
      <c r="B25" t="s">
        <v>43</v>
      </c>
      <c r="C25" t="s">
        <v>16</v>
      </c>
      <c r="D25" t="s">
        <v>15</v>
      </c>
      <c r="E25" t="s">
        <v>19</v>
      </c>
      <c r="F25" t="s">
        <v>13</v>
      </c>
      <c r="G25" t="str">
        <f t="shared" si="0"/>
        <v>Valid</v>
      </c>
      <c r="H25" t="str">
        <f t="shared" si="4"/>
        <v>Annuity</v>
      </c>
      <c r="I25" t="str">
        <f t="shared" si="1"/>
        <v>Financial Adviser</v>
      </c>
      <c r="J25" t="str">
        <f t="shared" si="2"/>
        <v>Workplace Pension</v>
      </c>
      <c r="K25" t="str">
        <f t="shared" si="3"/>
        <v>Poor Communication</v>
      </c>
    </row>
    <row r="26" spans="1:11" x14ac:dyDescent="0.35">
      <c r="A26">
        <v>25</v>
      </c>
      <c r="B26" t="s">
        <v>44</v>
      </c>
      <c r="C26" t="s">
        <v>7</v>
      </c>
      <c r="D26" t="s">
        <v>11</v>
      </c>
      <c r="E26" t="s">
        <v>8</v>
      </c>
      <c r="F26" t="s">
        <v>24</v>
      </c>
      <c r="G26" t="str">
        <f t="shared" si="0"/>
        <v>Valid</v>
      </c>
      <c r="H26" t="str">
        <f t="shared" si="4"/>
        <v>Service First</v>
      </c>
      <c r="I26" t="str">
        <f t="shared" si="1"/>
        <v>Policy Holder</v>
      </c>
      <c r="J26" t="str">
        <f t="shared" si="2"/>
        <v>Drawdown</v>
      </c>
      <c r="K26" t="str">
        <f t="shared" si="3"/>
        <v>Delayed Response</v>
      </c>
    </row>
    <row r="27" spans="1:11" x14ac:dyDescent="0.35">
      <c r="A27">
        <v>26</v>
      </c>
      <c r="B27" t="s">
        <v>45</v>
      </c>
      <c r="C27" t="s">
        <v>11</v>
      </c>
      <c r="D27" t="s">
        <v>11</v>
      </c>
      <c r="E27" t="s">
        <v>19</v>
      </c>
      <c r="F27" t="s">
        <v>13</v>
      </c>
      <c r="G27" t="str">
        <f t="shared" si="0"/>
        <v>Valid</v>
      </c>
      <c r="H27" t="str">
        <f t="shared" si="4"/>
        <v>Drawdown</v>
      </c>
      <c r="I27" t="str">
        <f t="shared" si="1"/>
        <v>Financial Adviser</v>
      </c>
      <c r="J27" t="str">
        <f t="shared" si="2"/>
        <v>Drawdown</v>
      </c>
      <c r="K27" t="str">
        <f t="shared" si="3"/>
        <v>Poor Communication</v>
      </c>
    </row>
    <row r="28" spans="1:11" x14ac:dyDescent="0.35">
      <c r="A28">
        <v>27</v>
      </c>
      <c r="B28" t="s">
        <v>46</v>
      </c>
      <c r="C28" t="s">
        <v>16</v>
      </c>
      <c r="D28" t="s">
        <v>15</v>
      </c>
      <c r="E28" t="s">
        <v>12</v>
      </c>
      <c r="F28" t="s">
        <v>13</v>
      </c>
      <c r="G28" t="str">
        <f t="shared" si="0"/>
        <v>Valid</v>
      </c>
      <c r="H28" t="str">
        <f t="shared" si="4"/>
        <v>Annuity</v>
      </c>
      <c r="I28" t="str">
        <f t="shared" si="1"/>
        <v>Servicing Agent</v>
      </c>
      <c r="J28" t="str">
        <f t="shared" si="2"/>
        <v>Workplace Pension</v>
      </c>
      <c r="K28" t="str">
        <f t="shared" si="3"/>
        <v>Poor Communication</v>
      </c>
    </row>
    <row r="29" spans="1:11" x14ac:dyDescent="0.35">
      <c r="A29">
        <v>28</v>
      </c>
      <c r="B29" t="s">
        <v>47</v>
      </c>
      <c r="C29" t="s">
        <v>16</v>
      </c>
      <c r="D29" t="s">
        <v>15</v>
      </c>
      <c r="E29" t="s">
        <v>8</v>
      </c>
      <c r="F29" t="s">
        <v>24</v>
      </c>
      <c r="G29" t="str">
        <f t="shared" si="0"/>
        <v>Valid</v>
      </c>
      <c r="H29" t="str">
        <f t="shared" si="4"/>
        <v>Annuity</v>
      </c>
      <c r="I29" t="str">
        <f t="shared" si="1"/>
        <v>Policy Holder</v>
      </c>
      <c r="J29" t="str">
        <f t="shared" si="2"/>
        <v>Workplace Pension</v>
      </c>
      <c r="K29" t="str">
        <f t="shared" si="3"/>
        <v>Delayed Response</v>
      </c>
    </row>
    <row r="30" spans="1:11" x14ac:dyDescent="0.35">
      <c r="A30">
        <v>29</v>
      </c>
      <c r="B30" t="s">
        <v>48</v>
      </c>
      <c r="C30" t="s">
        <v>15</v>
      </c>
      <c r="D30" t="s">
        <v>15</v>
      </c>
      <c r="E30" t="s">
        <v>8</v>
      </c>
      <c r="F30" t="s">
        <v>24</v>
      </c>
      <c r="G30" t="str">
        <f t="shared" si="0"/>
        <v>Valid</v>
      </c>
      <c r="H30" t="str">
        <f t="shared" si="4"/>
        <v>Workplace Pension</v>
      </c>
      <c r="I30" t="str">
        <f t="shared" si="1"/>
        <v>Policy Holder</v>
      </c>
      <c r="J30" t="str">
        <f t="shared" si="2"/>
        <v>Workplace Pension</v>
      </c>
      <c r="K30" t="str">
        <f t="shared" si="3"/>
        <v>Delayed Response</v>
      </c>
    </row>
    <row r="31" spans="1:11" x14ac:dyDescent="0.35">
      <c r="A31">
        <v>30</v>
      </c>
      <c r="B31" t="s">
        <v>49</v>
      </c>
      <c r="C31" t="s">
        <v>15</v>
      </c>
      <c r="D31" t="s">
        <v>7</v>
      </c>
      <c r="E31" t="s">
        <v>17</v>
      </c>
      <c r="F31" t="s">
        <v>13</v>
      </c>
      <c r="G31" t="str">
        <f t="shared" si="0"/>
        <v>Valid</v>
      </c>
      <c r="H31" t="str">
        <f t="shared" si="4"/>
        <v>Workplace Pension</v>
      </c>
      <c r="I31" t="str">
        <f t="shared" si="1"/>
        <v>Lawyer</v>
      </c>
      <c r="J31" t="str">
        <f t="shared" si="2"/>
        <v>Service First</v>
      </c>
      <c r="K31" t="str">
        <f t="shared" si="3"/>
        <v>Poor Communication</v>
      </c>
    </row>
    <row r="32" spans="1:11" x14ac:dyDescent="0.35">
      <c r="A32">
        <v>31</v>
      </c>
      <c r="B32" t="s">
        <v>50</v>
      </c>
      <c r="C32" t="s">
        <v>15</v>
      </c>
      <c r="D32" t="s">
        <v>11</v>
      </c>
      <c r="E32" t="s">
        <v>51</v>
      </c>
      <c r="F32" t="s">
        <v>24</v>
      </c>
      <c r="G32" t="str">
        <f t="shared" si="0"/>
        <v>Valid</v>
      </c>
      <c r="H32" t="str">
        <f t="shared" si="4"/>
        <v>Workplace Pension</v>
      </c>
      <c r="I32" t="str">
        <f t="shared" si="1"/>
        <v>Policy Holder</v>
      </c>
      <c r="J32" t="str">
        <f t="shared" si="2"/>
        <v>Drawdown</v>
      </c>
      <c r="K32" t="str">
        <f t="shared" si="3"/>
        <v>Delayed Response</v>
      </c>
    </row>
    <row r="33" spans="1:11" x14ac:dyDescent="0.35">
      <c r="A33">
        <v>32</v>
      </c>
      <c r="B33" t="s">
        <v>52</v>
      </c>
      <c r="C33" t="s">
        <v>7</v>
      </c>
      <c r="D33" t="s">
        <v>15</v>
      </c>
      <c r="E33" t="s">
        <v>12</v>
      </c>
      <c r="F33" t="s">
        <v>24</v>
      </c>
      <c r="G33" t="str">
        <f t="shared" si="0"/>
        <v>Valid</v>
      </c>
      <c r="H33" t="str">
        <f t="shared" si="4"/>
        <v>Service First</v>
      </c>
      <c r="I33" t="str">
        <f t="shared" si="1"/>
        <v>Servicing Agent</v>
      </c>
      <c r="J33" t="str">
        <f t="shared" si="2"/>
        <v>Workplace Pension</v>
      </c>
      <c r="K33" t="str">
        <f t="shared" si="3"/>
        <v>Delayed Response</v>
      </c>
    </row>
    <row r="34" spans="1:11" x14ac:dyDescent="0.35">
      <c r="A34">
        <v>33</v>
      </c>
      <c r="B34" t="s">
        <v>53</v>
      </c>
      <c r="C34" t="s">
        <v>7</v>
      </c>
      <c r="D34" t="s">
        <v>16</v>
      </c>
      <c r="E34" t="s">
        <v>19</v>
      </c>
      <c r="F34" t="s">
        <v>24</v>
      </c>
      <c r="G34" t="str">
        <f t="shared" si="0"/>
        <v>Valid</v>
      </c>
      <c r="H34" t="str">
        <f t="shared" si="4"/>
        <v>Service First</v>
      </c>
      <c r="I34" t="str">
        <f t="shared" si="1"/>
        <v>Financial Adviser</v>
      </c>
      <c r="J34" t="str">
        <f t="shared" si="2"/>
        <v>Annuity</v>
      </c>
      <c r="K34" t="str">
        <f t="shared" si="3"/>
        <v>Delayed Response</v>
      </c>
    </row>
    <row r="35" spans="1:11" x14ac:dyDescent="0.35">
      <c r="A35">
        <v>34</v>
      </c>
      <c r="B35" t="s">
        <v>54</v>
      </c>
      <c r="C35" t="s">
        <v>16</v>
      </c>
      <c r="D35" t="s">
        <v>15</v>
      </c>
      <c r="E35" t="s">
        <v>17</v>
      </c>
      <c r="F35" t="s">
        <v>9</v>
      </c>
      <c r="G35" t="str">
        <f t="shared" si="0"/>
        <v>Valid</v>
      </c>
      <c r="H35" t="str">
        <f t="shared" si="4"/>
        <v>Annuity</v>
      </c>
      <c r="I35" t="str">
        <f t="shared" si="1"/>
        <v>Lawyer</v>
      </c>
      <c r="J35" t="str">
        <f t="shared" si="2"/>
        <v>Workplace Pension</v>
      </c>
      <c r="K35" t="str">
        <f t="shared" si="3"/>
        <v>Misinformation</v>
      </c>
    </row>
    <row r="36" spans="1:11" x14ac:dyDescent="0.35">
      <c r="A36">
        <v>35</v>
      </c>
      <c r="B36" t="s">
        <v>55</v>
      </c>
      <c r="C36" t="s">
        <v>16</v>
      </c>
      <c r="D36" t="s">
        <v>7</v>
      </c>
      <c r="E36" t="s">
        <v>19</v>
      </c>
      <c r="F36" t="s">
        <v>9</v>
      </c>
      <c r="G36" t="str">
        <f t="shared" si="0"/>
        <v>Valid</v>
      </c>
      <c r="H36" t="str">
        <f t="shared" si="4"/>
        <v>Annuity</v>
      </c>
      <c r="I36" t="str">
        <f t="shared" si="1"/>
        <v>Financial Adviser</v>
      </c>
      <c r="J36" t="str">
        <f t="shared" si="2"/>
        <v>Service First</v>
      </c>
      <c r="K36" t="str">
        <f t="shared" si="3"/>
        <v>Misinformation</v>
      </c>
    </row>
    <row r="37" spans="1:11" x14ac:dyDescent="0.35">
      <c r="A37">
        <v>36</v>
      </c>
      <c r="B37" t="s">
        <v>56</v>
      </c>
      <c r="C37" t="s">
        <v>15</v>
      </c>
      <c r="D37" t="s">
        <v>16</v>
      </c>
      <c r="E37" t="s">
        <v>12</v>
      </c>
      <c r="F37" t="s">
        <v>9</v>
      </c>
      <c r="G37" t="str">
        <f t="shared" si="0"/>
        <v>Valid</v>
      </c>
      <c r="H37" t="str">
        <f t="shared" si="4"/>
        <v>Workplace Pension</v>
      </c>
      <c r="I37" t="str">
        <f t="shared" si="1"/>
        <v>Servicing Agent</v>
      </c>
      <c r="J37" t="str">
        <f t="shared" si="2"/>
        <v>Annuity</v>
      </c>
      <c r="K37" t="str">
        <f t="shared" si="3"/>
        <v>Misinformation</v>
      </c>
    </row>
    <row r="38" spans="1:11" x14ac:dyDescent="0.35">
      <c r="A38">
        <v>37</v>
      </c>
      <c r="B38" t="s">
        <v>57</v>
      </c>
      <c r="C38" t="s">
        <v>16</v>
      </c>
      <c r="D38" t="s">
        <v>11</v>
      </c>
      <c r="E38" t="s">
        <v>17</v>
      </c>
      <c r="F38" t="s">
        <v>9</v>
      </c>
      <c r="G38" t="str">
        <f t="shared" si="0"/>
        <v>Valid</v>
      </c>
      <c r="H38" t="str">
        <f t="shared" si="4"/>
        <v>Annuity</v>
      </c>
      <c r="I38" t="str">
        <f t="shared" si="1"/>
        <v>Lawyer</v>
      </c>
      <c r="J38" t="str">
        <f t="shared" si="2"/>
        <v>Drawdown</v>
      </c>
      <c r="K38" t="str">
        <f t="shared" si="3"/>
        <v>Misinformation</v>
      </c>
    </row>
    <row r="39" spans="1:11" x14ac:dyDescent="0.35">
      <c r="A39">
        <v>38</v>
      </c>
      <c r="B39" t="s">
        <v>58</v>
      </c>
      <c r="C39" t="s">
        <v>15</v>
      </c>
      <c r="D39" t="s">
        <v>15</v>
      </c>
      <c r="E39" t="s">
        <v>19</v>
      </c>
      <c r="F39" t="s">
        <v>9</v>
      </c>
      <c r="G39" t="str">
        <f t="shared" si="0"/>
        <v>Valid</v>
      </c>
      <c r="H39" t="str">
        <f t="shared" si="4"/>
        <v>Workplace Pension</v>
      </c>
      <c r="I39" t="str">
        <f t="shared" si="1"/>
        <v>Financial Adviser</v>
      </c>
      <c r="J39" t="str">
        <f t="shared" si="2"/>
        <v>Workplace Pension</v>
      </c>
      <c r="K39" t="str">
        <f t="shared" si="3"/>
        <v>Misinformation</v>
      </c>
    </row>
    <row r="40" spans="1:11" x14ac:dyDescent="0.35">
      <c r="A40">
        <v>39</v>
      </c>
      <c r="B40" t="s">
        <v>59</v>
      </c>
      <c r="C40" t="s">
        <v>16</v>
      </c>
      <c r="D40" t="s">
        <v>11</v>
      </c>
      <c r="E40" t="s">
        <v>17</v>
      </c>
      <c r="F40" t="s">
        <v>24</v>
      </c>
      <c r="G40" t="str">
        <f t="shared" si="0"/>
        <v>Valid</v>
      </c>
      <c r="H40" t="str">
        <f t="shared" si="4"/>
        <v>Annuity</v>
      </c>
      <c r="I40" t="str">
        <f t="shared" si="1"/>
        <v>Lawyer</v>
      </c>
      <c r="J40" t="str">
        <f t="shared" si="2"/>
        <v>Drawdown</v>
      </c>
      <c r="K40" t="str">
        <f t="shared" si="3"/>
        <v>Delayed Response</v>
      </c>
    </row>
    <row r="41" spans="1:11" x14ac:dyDescent="0.35">
      <c r="A41">
        <v>40</v>
      </c>
      <c r="B41" t="s">
        <v>60</v>
      </c>
      <c r="C41" t="s">
        <v>15</v>
      </c>
      <c r="D41" t="s">
        <v>16</v>
      </c>
      <c r="E41" t="s">
        <v>23</v>
      </c>
      <c r="F41" t="s">
        <v>24</v>
      </c>
      <c r="G41" t="str">
        <f t="shared" si="0"/>
        <v>Valid</v>
      </c>
      <c r="H41" t="str">
        <f t="shared" si="4"/>
        <v>Workplace Pension</v>
      </c>
      <c r="I41" t="str">
        <f t="shared" si="1"/>
        <v>Attorney</v>
      </c>
      <c r="J41" t="str">
        <f t="shared" si="2"/>
        <v>Annuity</v>
      </c>
      <c r="K41" t="str">
        <f t="shared" si="3"/>
        <v>Delayed Response</v>
      </c>
    </row>
    <row r="42" spans="1:11" x14ac:dyDescent="0.35">
      <c r="A42">
        <v>41</v>
      </c>
      <c r="B42" t="s">
        <v>61</v>
      </c>
      <c r="C42" t="s">
        <v>7</v>
      </c>
      <c r="D42" t="s">
        <v>15</v>
      </c>
      <c r="E42" t="s">
        <v>12</v>
      </c>
      <c r="F42" t="s">
        <v>62</v>
      </c>
      <c r="G42" t="str">
        <f t="shared" si="0"/>
        <v>Valid</v>
      </c>
      <c r="H42" t="str">
        <f t="shared" si="4"/>
        <v>Service First</v>
      </c>
      <c r="I42" t="str">
        <f t="shared" si="1"/>
        <v>Servicing Agent</v>
      </c>
      <c r="J42" t="str">
        <f t="shared" si="2"/>
        <v>Workplace Pension</v>
      </c>
      <c r="K42" t="str">
        <f t="shared" si="3"/>
        <v>Poor Communication</v>
      </c>
    </row>
    <row r="43" spans="1:11" x14ac:dyDescent="0.35">
      <c r="A43">
        <v>42</v>
      </c>
      <c r="B43" t="s">
        <v>63</v>
      </c>
      <c r="C43" t="s">
        <v>11</v>
      </c>
      <c r="D43" t="s">
        <v>11</v>
      </c>
      <c r="E43" t="s">
        <v>8</v>
      </c>
      <c r="F43" t="s">
        <v>13</v>
      </c>
      <c r="G43" t="str">
        <f t="shared" si="0"/>
        <v>Valid</v>
      </c>
      <c r="H43" t="str">
        <f t="shared" si="4"/>
        <v>Drawdown</v>
      </c>
      <c r="I43" t="str">
        <f t="shared" si="1"/>
        <v>Policy Holder</v>
      </c>
      <c r="J43" t="str">
        <f t="shared" si="2"/>
        <v>Drawdown</v>
      </c>
      <c r="K43" t="str">
        <f t="shared" si="3"/>
        <v>Poor Communication</v>
      </c>
    </row>
    <row r="44" spans="1:11" x14ac:dyDescent="0.35">
      <c r="A44">
        <v>43</v>
      </c>
      <c r="B44" t="s">
        <v>64</v>
      </c>
      <c r="C44" t="s">
        <v>11</v>
      </c>
      <c r="D44" t="s">
        <v>7</v>
      </c>
      <c r="E44" t="s">
        <v>12</v>
      </c>
      <c r="F44" t="s">
        <v>9</v>
      </c>
      <c r="G44" t="str">
        <f t="shared" si="0"/>
        <v>Valid</v>
      </c>
      <c r="H44" t="str">
        <f t="shared" si="4"/>
        <v>Drawdown</v>
      </c>
      <c r="I44" t="str">
        <f t="shared" si="1"/>
        <v>Servicing Agent</v>
      </c>
      <c r="J44" t="str">
        <f t="shared" si="2"/>
        <v>Service First</v>
      </c>
      <c r="K44" t="str">
        <f t="shared" si="3"/>
        <v>Misinformation</v>
      </c>
    </row>
    <row r="45" spans="1:11" x14ac:dyDescent="0.35">
      <c r="A45">
        <v>44</v>
      </c>
      <c r="B45" t="s">
        <v>65</v>
      </c>
      <c r="C45" t="s">
        <v>7</v>
      </c>
      <c r="D45" t="s">
        <v>15</v>
      </c>
      <c r="E45" t="s">
        <v>19</v>
      </c>
      <c r="F45" t="s">
        <v>9</v>
      </c>
      <c r="G45" t="str">
        <f t="shared" si="0"/>
        <v>Valid</v>
      </c>
      <c r="H45" t="str">
        <f t="shared" si="4"/>
        <v>Service First</v>
      </c>
      <c r="I45" t="str">
        <f t="shared" si="1"/>
        <v>Financial Adviser</v>
      </c>
      <c r="J45" t="str">
        <f t="shared" si="2"/>
        <v>Workplace Pension</v>
      </c>
      <c r="K45" t="str">
        <f t="shared" si="3"/>
        <v>Misinformation</v>
      </c>
    </row>
    <row r="46" spans="1:11" x14ac:dyDescent="0.35">
      <c r="A46">
        <v>45</v>
      </c>
      <c r="B46" t="s">
        <v>66</v>
      </c>
      <c r="C46" t="s">
        <v>16</v>
      </c>
      <c r="D46" t="s">
        <v>16</v>
      </c>
      <c r="E46" t="s">
        <v>8</v>
      </c>
      <c r="F46" t="s">
        <v>9</v>
      </c>
      <c r="G46" t="str">
        <f t="shared" si="0"/>
        <v>Valid</v>
      </c>
      <c r="H46" t="str">
        <f t="shared" si="4"/>
        <v>Annuity</v>
      </c>
      <c r="I46" t="str">
        <f t="shared" si="1"/>
        <v>Policy Holder</v>
      </c>
      <c r="J46" t="str">
        <f t="shared" si="2"/>
        <v>Annuity</v>
      </c>
      <c r="K46" t="str">
        <f t="shared" si="3"/>
        <v>Misinformation</v>
      </c>
    </row>
    <row r="47" spans="1:11" x14ac:dyDescent="0.35">
      <c r="A47">
        <v>46</v>
      </c>
      <c r="B47" t="s">
        <v>67</v>
      </c>
      <c r="C47" t="s">
        <v>7</v>
      </c>
      <c r="D47" t="s">
        <v>11</v>
      </c>
      <c r="E47" t="s">
        <v>8</v>
      </c>
      <c r="F47" t="s">
        <v>13</v>
      </c>
      <c r="G47" t="str">
        <f t="shared" si="0"/>
        <v>Valid</v>
      </c>
      <c r="H47" t="str">
        <f t="shared" si="4"/>
        <v>Service First</v>
      </c>
      <c r="I47" t="str">
        <f t="shared" si="1"/>
        <v>Policy Holder</v>
      </c>
      <c r="J47" t="str">
        <f t="shared" si="2"/>
        <v>Drawdown</v>
      </c>
      <c r="K47" t="str">
        <f t="shared" si="3"/>
        <v>Poor Communication</v>
      </c>
    </row>
    <row r="48" spans="1:11" x14ac:dyDescent="0.35">
      <c r="A48">
        <v>47</v>
      </c>
      <c r="B48" t="s">
        <v>68</v>
      </c>
      <c r="C48" t="s">
        <v>11</v>
      </c>
      <c r="D48" t="s">
        <v>7</v>
      </c>
      <c r="E48" t="s">
        <v>12</v>
      </c>
      <c r="F48" t="s">
        <v>9</v>
      </c>
      <c r="G48" t="str">
        <f t="shared" si="0"/>
        <v>Valid</v>
      </c>
      <c r="H48" t="str">
        <f t="shared" si="4"/>
        <v>Drawdown</v>
      </c>
      <c r="I48" t="str">
        <f t="shared" si="1"/>
        <v>Servicing Agent</v>
      </c>
      <c r="J48" t="str">
        <f t="shared" si="2"/>
        <v>Service First</v>
      </c>
      <c r="K48" t="str">
        <f t="shared" si="3"/>
        <v>Misinformation</v>
      </c>
    </row>
    <row r="49" spans="1:11" x14ac:dyDescent="0.35">
      <c r="A49">
        <v>48</v>
      </c>
      <c r="B49" t="s">
        <v>69</v>
      </c>
      <c r="C49" t="s">
        <v>11</v>
      </c>
      <c r="D49" t="s">
        <v>15</v>
      </c>
      <c r="E49" t="s">
        <v>12</v>
      </c>
      <c r="F49" t="s">
        <v>13</v>
      </c>
      <c r="G49" t="str">
        <f t="shared" si="0"/>
        <v>Valid</v>
      </c>
      <c r="H49" t="str">
        <f t="shared" si="4"/>
        <v>Drawdown</v>
      </c>
      <c r="I49" t="str">
        <f t="shared" si="1"/>
        <v>Servicing Agent</v>
      </c>
      <c r="J49" t="str">
        <f t="shared" si="2"/>
        <v>Workplace Pension</v>
      </c>
      <c r="K49" t="str">
        <f t="shared" si="3"/>
        <v>Poor Communication</v>
      </c>
    </row>
    <row r="50" spans="1:11" x14ac:dyDescent="0.35">
      <c r="A50">
        <v>49</v>
      </c>
      <c r="B50" t="s">
        <v>70</v>
      </c>
      <c r="C50" t="s">
        <v>16</v>
      </c>
      <c r="D50" t="s">
        <v>7</v>
      </c>
      <c r="E50" t="s">
        <v>19</v>
      </c>
      <c r="F50" t="s">
        <v>13</v>
      </c>
      <c r="G50" t="str">
        <f t="shared" si="0"/>
        <v>Valid</v>
      </c>
      <c r="H50" t="str">
        <f t="shared" si="4"/>
        <v>Annuity</v>
      </c>
      <c r="I50" t="str">
        <f t="shared" si="1"/>
        <v>Financial Adviser</v>
      </c>
      <c r="J50" t="str">
        <f t="shared" si="2"/>
        <v>Service First</v>
      </c>
      <c r="K50" t="str">
        <f t="shared" si="3"/>
        <v>Poor Communication</v>
      </c>
    </row>
    <row r="51" spans="1:11" x14ac:dyDescent="0.35">
      <c r="A51">
        <v>50</v>
      </c>
      <c r="B51" t="s">
        <v>71</v>
      </c>
      <c r="C51" t="s">
        <v>7</v>
      </c>
      <c r="D51" t="s">
        <v>16</v>
      </c>
      <c r="E51" t="s">
        <v>23</v>
      </c>
      <c r="F51" t="s">
        <v>13</v>
      </c>
      <c r="G51" t="str">
        <f t="shared" si="0"/>
        <v>Valid</v>
      </c>
      <c r="H51" t="str">
        <f t="shared" si="4"/>
        <v>Service First</v>
      </c>
      <c r="I51" t="str">
        <f t="shared" si="1"/>
        <v>Attorney</v>
      </c>
      <c r="J51" t="str">
        <f t="shared" si="2"/>
        <v>Annuity</v>
      </c>
      <c r="K51" t="str">
        <f t="shared" si="3"/>
        <v>Poor Communication</v>
      </c>
    </row>
    <row r="52" spans="1:11" x14ac:dyDescent="0.35">
      <c r="A52">
        <v>52</v>
      </c>
      <c r="B52" t="s">
        <v>73</v>
      </c>
      <c r="C52" t="s">
        <v>16</v>
      </c>
      <c r="D52" t="s">
        <v>16</v>
      </c>
      <c r="E52" t="s">
        <v>17</v>
      </c>
      <c r="F52" t="s">
        <v>24</v>
      </c>
      <c r="G52" t="str">
        <f t="shared" si="0"/>
        <v>Valid</v>
      </c>
      <c r="H52" t="str">
        <f t="shared" si="4"/>
        <v>Annuity</v>
      </c>
      <c r="I52" t="str">
        <f t="shared" si="1"/>
        <v>Lawyer</v>
      </c>
      <c r="J52" t="str">
        <f t="shared" si="2"/>
        <v>Annuity</v>
      </c>
      <c r="K52" t="str">
        <f t="shared" si="3"/>
        <v>Delayed Response</v>
      </c>
    </row>
    <row r="53" spans="1:11" x14ac:dyDescent="0.35">
      <c r="A53">
        <v>53</v>
      </c>
      <c r="B53" t="s">
        <v>74</v>
      </c>
      <c r="C53" t="s">
        <v>15</v>
      </c>
      <c r="D53" t="s">
        <v>16</v>
      </c>
      <c r="E53" t="s">
        <v>12</v>
      </c>
      <c r="F53" t="s">
        <v>24</v>
      </c>
      <c r="G53" t="str">
        <f t="shared" si="0"/>
        <v>Valid</v>
      </c>
      <c r="H53" t="str">
        <f t="shared" si="4"/>
        <v>Workplace Pension</v>
      </c>
      <c r="I53" t="str">
        <f t="shared" si="1"/>
        <v>Servicing Agent</v>
      </c>
      <c r="J53" t="str">
        <f t="shared" si="2"/>
        <v>Annuity</v>
      </c>
      <c r="K53" t="str">
        <f t="shared" si="3"/>
        <v>Delayed Response</v>
      </c>
    </row>
    <row r="54" spans="1:11" x14ac:dyDescent="0.35">
      <c r="A54">
        <v>54</v>
      </c>
      <c r="B54" t="s">
        <v>75</v>
      </c>
      <c r="C54" t="s">
        <v>7</v>
      </c>
      <c r="D54" t="s">
        <v>16</v>
      </c>
      <c r="E54" t="s">
        <v>23</v>
      </c>
      <c r="F54" t="s">
        <v>13</v>
      </c>
      <c r="G54" t="str">
        <f t="shared" si="0"/>
        <v>Valid</v>
      </c>
      <c r="H54" t="str">
        <f t="shared" si="4"/>
        <v>Service First</v>
      </c>
      <c r="I54" t="str">
        <f t="shared" si="1"/>
        <v>Attorney</v>
      </c>
      <c r="J54" t="str">
        <f t="shared" si="2"/>
        <v>Annuity</v>
      </c>
      <c r="K54" t="str">
        <f t="shared" si="3"/>
        <v>Poor Communication</v>
      </c>
    </row>
    <row r="55" spans="1:11" x14ac:dyDescent="0.35">
      <c r="A55">
        <v>55</v>
      </c>
      <c r="B55" t="s">
        <v>76</v>
      </c>
      <c r="C55" t="s">
        <v>16</v>
      </c>
      <c r="D55" t="s">
        <v>16</v>
      </c>
      <c r="E55" t="s">
        <v>19</v>
      </c>
      <c r="F55" t="s">
        <v>9</v>
      </c>
      <c r="G55" t="str">
        <f t="shared" si="0"/>
        <v>Valid</v>
      </c>
      <c r="H55" t="str">
        <f t="shared" si="4"/>
        <v>Annuity</v>
      </c>
      <c r="I55" t="str">
        <f t="shared" si="1"/>
        <v>Financial Adviser</v>
      </c>
      <c r="J55" t="str">
        <f t="shared" si="2"/>
        <v>Annuity</v>
      </c>
      <c r="K55" t="str">
        <f t="shared" si="3"/>
        <v>Misinformation</v>
      </c>
    </row>
    <row r="56" spans="1:11" x14ac:dyDescent="0.35">
      <c r="A56">
        <v>56</v>
      </c>
      <c r="B56" t="s">
        <v>77</v>
      </c>
      <c r="C56" t="s">
        <v>11</v>
      </c>
      <c r="D56" t="s">
        <v>7</v>
      </c>
      <c r="E56" t="s">
        <v>23</v>
      </c>
      <c r="F56" t="s">
        <v>13</v>
      </c>
      <c r="G56" t="str">
        <f t="shared" si="0"/>
        <v>Valid</v>
      </c>
      <c r="H56" t="str">
        <f t="shared" si="4"/>
        <v>Drawdown</v>
      </c>
      <c r="I56" t="str">
        <f t="shared" si="1"/>
        <v>Attorney</v>
      </c>
      <c r="J56" t="str">
        <f t="shared" si="2"/>
        <v>Service First</v>
      </c>
      <c r="K56" t="str">
        <f t="shared" si="3"/>
        <v>Poor Communication</v>
      </c>
    </row>
    <row r="57" spans="1:11" x14ac:dyDescent="0.35">
      <c r="A57">
        <v>57</v>
      </c>
      <c r="B57" t="s">
        <v>78</v>
      </c>
      <c r="C57" t="s">
        <v>7</v>
      </c>
      <c r="D57" t="s">
        <v>16</v>
      </c>
      <c r="E57" t="s">
        <v>23</v>
      </c>
      <c r="F57" t="s">
        <v>13</v>
      </c>
      <c r="G57" t="str">
        <f t="shared" si="0"/>
        <v>Valid</v>
      </c>
      <c r="H57" t="str">
        <f t="shared" si="4"/>
        <v>Service First</v>
      </c>
      <c r="I57" t="str">
        <f t="shared" si="1"/>
        <v>Attorney</v>
      </c>
      <c r="J57" t="str">
        <f t="shared" si="2"/>
        <v>Annuity</v>
      </c>
      <c r="K57" t="str">
        <f t="shared" si="3"/>
        <v>Poor Communication</v>
      </c>
    </row>
    <row r="58" spans="1:11" x14ac:dyDescent="0.35">
      <c r="A58">
        <v>58</v>
      </c>
      <c r="B58" t="s">
        <v>79</v>
      </c>
      <c r="C58" t="s">
        <v>11</v>
      </c>
      <c r="D58" t="s">
        <v>11</v>
      </c>
      <c r="E58" t="s">
        <v>19</v>
      </c>
      <c r="F58" t="s">
        <v>9</v>
      </c>
      <c r="G58" t="str">
        <f t="shared" si="0"/>
        <v>Valid</v>
      </c>
      <c r="H58" t="str">
        <f t="shared" si="4"/>
        <v>Drawdown</v>
      </c>
      <c r="I58" t="str">
        <f t="shared" si="1"/>
        <v>Financial Adviser</v>
      </c>
      <c r="J58" t="str">
        <f t="shared" si="2"/>
        <v>Drawdown</v>
      </c>
      <c r="K58" t="str">
        <f t="shared" si="3"/>
        <v>Misinformation</v>
      </c>
    </row>
    <row r="59" spans="1:11" x14ac:dyDescent="0.35">
      <c r="A59">
        <v>59</v>
      </c>
      <c r="B59" t="s">
        <v>80</v>
      </c>
      <c r="C59" t="s">
        <v>7</v>
      </c>
      <c r="D59" t="s">
        <v>7</v>
      </c>
      <c r="E59" t="s">
        <v>23</v>
      </c>
      <c r="F59" t="s">
        <v>13</v>
      </c>
      <c r="G59" t="str">
        <f t="shared" si="0"/>
        <v>Valid</v>
      </c>
      <c r="H59" t="str">
        <f t="shared" si="4"/>
        <v>Service First</v>
      </c>
      <c r="I59" t="str">
        <f t="shared" si="1"/>
        <v>Attorney</v>
      </c>
      <c r="J59" t="str">
        <f t="shared" si="2"/>
        <v>Service First</v>
      </c>
      <c r="K59" t="str">
        <f t="shared" si="3"/>
        <v>Poor Communication</v>
      </c>
    </row>
    <row r="60" spans="1:11" x14ac:dyDescent="0.35">
      <c r="A60">
        <v>60</v>
      </c>
      <c r="B60" t="s">
        <v>81</v>
      </c>
      <c r="C60" t="s">
        <v>11</v>
      </c>
      <c r="D60" t="s">
        <v>7</v>
      </c>
      <c r="E60" t="s">
        <v>8</v>
      </c>
      <c r="F60" t="s">
        <v>13</v>
      </c>
      <c r="G60" t="str">
        <f t="shared" si="0"/>
        <v>Valid</v>
      </c>
      <c r="H60" t="str">
        <f t="shared" si="4"/>
        <v>Drawdown</v>
      </c>
      <c r="I60" t="str">
        <f t="shared" si="1"/>
        <v>Policy Holder</v>
      </c>
      <c r="J60" t="str">
        <f t="shared" si="2"/>
        <v>Service First</v>
      </c>
      <c r="K60" t="str">
        <f t="shared" si="3"/>
        <v>Poor Communication</v>
      </c>
    </row>
    <row r="61" spans="1:11" x14ac:dyDescent="0.35">
      <c r="A61">
        <v>61</v>
      </c>
      <c r="B61" t="s">
        <v>82</v>
      </c>
      <c r="C61" t="s">
        <v>11</v>
      </c>
      <c r="D61" t="s">
        <v>11</v>
      </c>
      <c r="E61" t="s">
        <v>17</v>
      </c>
      <c r="F61" t="s">
        <v>13</v>
      </c>
      <c r="G61" t="str">
        <f t="shared" si="0"/>
        <v>Valid</v>
      </c>
      <c r="H61" t="str">
        <f t="shared" si="4"/>
        <v>Drawdown</v>
      </c>
      <c r="I61" t="str">
        <f t="shared" si="1"/>
        <v>Lawyer</v>
      </c>
      <c r="J61" t="str">
        <f t="shared" si="2"/>
        <v>Drawdown</v>
      </c>
      <c r="K61" t="str">
        <f t="shared" si="3"/>
        <v>Poor Communication</v>
      </c>
    </row>
    <row r="62" spans="1:11" x14ac:dyDescent="0.35">
      <c r="A62">
        <v>62</v>
      </c>
      <c r="B62" t="s">
        <v>83</v>
      </c>
      <c r="C62" t="s">
        <v>16</v>
      </c>
      <c r="D62" t="s">
        <v>16</v>
      </c>
      <c r="E62" t="s">
        <v>8</v>
      </c>
      <c r="F62" t="s">
        <v>9</v>
      </c>
      <c r="G62" t="str">
        <f t="shared" si="0"/>
        <v>Valid</v>
      </c>
      <c r="H62" t="str">
        <f t="shared" si="4"/>
        <v>Annuity</v>
      </c>
      <c r="I62" t="str">
        <f t="shared" si="1"/>
        <v>Policy Holder</v>
      </c>
      <c r="J62" t="str">
        <f t="shared" si="2"/>
        <v>Annuity</v>
      </c>
      <c r="K62" t="str">
        <f t="shared" si="3"/>
        <v>Misinformation</v>
      </c>
    </row>
    <row r="63" spans="1:11" x14ac:dyDescent="0.35">
      <c r="A63">
        <v>63</v>
      </c>
      <c r="B63" t="s">
        <v>84</v>
      </c>
      <c r="C63" t="s">
        <v>11</v>
      </c>
      <c r="D63" t="s">
        <v>7</v>
      </c>
      <c r="E63" t="s">
        <v>12</v>
      </c>
      <c r="F63" t="s">
        <v>13</v>
      </c>
      <c r="G63" t="str">
        <f t="shared" si="0"/>
        <v>Valid</v>
      </c>
      <c r="H63" t="str">
        <f t="shared" si="4"/>
        <v>Drawdown</v>
      </c>
      <c r="I63" t="str">
        <f t="shared" si="1"/>
        <v>Servicing Agent</v>
      </c>
      <c r="J63" t="str">
        <f t="shared" si="2"/>
        <v>Service First</v>
      </c>
      <c r="K63" t="str">
        <f t="shared" si="3"/>
        <v>Poor Communication</v>
      </c>
    </row>
    <row r="64" spans="1:11" x14ac:dyDescent="0.35">
      <c r="A64">
        <v>64</v>
      </c>
      <c r="B64" t="s">
        <v>85</v>
      </c>
      <c r="C64" t="s">
        <v>7</v>
      </c>
      <c r="D64" t="s">
        <v>7</v>
      </c>
      <c r="E64" t="s">
        <v>8</v>
      </c>
      <c r="F64" t="s">
        <v>24</v>
      </c>
      <c r="G64" t="str">
        <f t="shared" si="0"/>
        <v>Valid</v>
      </c>
      <c r="H64" t="str">
        <f t="shared" si="4"/>
        <v>Service First</v>
      </c>
      <c r="I64" t="str">
        <f t="shared" si="1"/>
        <v>Policy Holder</v>
      </c>
      <c r="J64" t="str">
        <f t="shared" si="2"/>
        <v>Service First</v>
      </c>
      <c r="K64" t="str">
        <f t="shared" si="3"/>
        <v>Delayed Response</v>
      </c>
    </row>
    <row r="65" spans="1:11" x14ac:dyDescent="0.35">
      <c r="A65">
        <v>65</v>
      </c>
      <c r="B65" t="s">
        <v>86</v>
      </c>
      <c r="C65" t="s">
        <v>16</v>
      </c>
      <c r="D65" t="s">
        <v>11</v>
      </c>
      <c r="E65" t="s">
        <v>12</v>
      </c>
      <c r="F65" t="s">
        <v>9</v>
      </c>
      <c r="G65" t="str">
        <f t="shared" ref="G65:G128" si="5">IF(AND(LEN(B65)=8, ISNUMBER(VALUE(RIGHT(B65,6)))), "Valid", "Invalid")</f>
        <v>Valid</v>
      </c>
      <c r="H65" t="str">
        <f t="shared" si="4"/>
        <v>Annuity</v>
      </c>
      <c r="I65" t="str">
        <f t="shared" si="1"/>
        <v>Servicing Agent</v>
      </c>
      <c r="J65" t="str">
        <f t="shared" si="2"/>
        <v>Drawdown</v>
      </c>
      <c r="K65" t="str">
        <f t="shared" si="3"/>
        <v>Misinformation</v>
      </c>
    </row>
    <row r="66" spans="1:11" x14ac:dyDescent="0.35">
      <c r="A66">
        <v>66</v>
      </c>
      <c r="B66" t="s">
        <v>87</v>
      </c>
      <c r="C66" t="s">
        <v>16</v>
      </c>
      <c r="D66" t="s">
        <v>16</v>
      </c>
      <c r="E66" t="s">
        <v>8</v>
      </c>
      <c r="F66" t="s">
        <v>13</v>
      </c>
      <c r="G66" t="str">
        <f t="shared" si="5"/>
        <v>Valid</v>
      </c>
      <c r="H66" t="str">
        <f t="shared" si="4"/>
        <v>Annuity</v>
      </c>
      <c r="I66" t="str">
        <f t="shared" ref="I66:I129" si="6">IF(E66="PolicyHolder","Policy Holder",PROPER(TRIM(E66)))</f>
        <v>Policy Holder</v>
      </c>
      <c r="J66" t="str">
        <f t="shared" ref="J66:J129" si="7">IF(D66="", "Unknown", D66)</f>
        <v>Annuity</v>
      </c>
      <c r="K66" t="str">
        <f t="shared" ref="K66:K129" si="8">IF(F66="Poor Comm","Poor Communication",PROPER(TRIM(F66)))</f>
        <v>Poor Communication</v>
      </c>
    </row>
    <row r="67" spans="1:11" x14ac:dyDescent="0.35">
      <c r="A67">
        <v>67</v>
      </c>
      <c r="B67" t="s">
        <v>88</v>
      </c>
      <c r="C67" t="s">
        <v>7</v>
      </c>
      <c r="D67" t="s">
        <v>15</v>
      </c>
      <c r="E67" t="s">
        <v>17</v>
      </c>
      <c r="F67" t="s">
        <v>13</v>
      </c>
      <c r="G67" t="str">
        <f t="shared" si="5"/>
        <v>Valid</v>
      </c>
      <c r="H67" t="str">
        <f t="shared" ref="H67:H130" si="9">PROPER(TRIM(C67))</f>
        <v>Service First</v>
      </c>
      <c r="I67" t="str">
        <f t="shared" si="6"/>
        <v>Lawyer</v>
      </c>
      <c r="J67" t="str">
        <f t="shared" si="7"/>
        <v>Workplace Pension</v>
      </c>
      <c r="K67" t="str">
        <f t="shared" si="8"/>
        <v>Poor Communication</v>
      </c>
    </row>
    <row r="68" spans="1:11" x14ac:dyDescent="0.35">
      <c r="A68">
        <v>68</v>
      </c>
      <c r="B68" t="s">
        <v>89</v>
      </c>
      <c r="C68" t="s">
        <v>7</v>
      </c>
      <c r="D68" t="s">
        <v>16</v>
      </c>
      <c r="E68" t="s">
        <v>8</v>
      </c>
      <c r="F68" t="s">
        <v>13</v>
      </c>
      <c r="G68" t="str">
        <f t="shared" si="5"/>
        <v>Valid</v>
      </c>
      <c r="H68" t="str">
        <f t="shared" si="9"/>
        <v>Service First</v>
      </c>
      <c r="I68" t="str">
        <f t="shared" si="6"/>
        <v>Policy Holder</v>
      </c>
      <c r="J68" t="str">
        <f t="shared" si="7"/>
        <v>Annuity</v>
      </c>
      <c r="K68" t="str">
        <f t="shared" si="8"/>
        <v>Poor Communication</v>
      </c>
    </row>
    <row r="69" spans="1:11" x14ac:dyDescent="0.35">
      <c r="A69">
        <v>69</v>
      </c>
      <c r="B69" t="s">
        <v>90</v>
      </c>
      <c r="C69" t="s">
        <v>7</v>
      </c>
      <c r="D69" t="s">
        <v>16</v>
      </c>
      <c r="E69" t="s">
        <v>12</v>
      </c>
      <c r="F69" t="s">
        <v>13</v>
      </c>
      <c r="G69" t="str">
        <f t="shared" si="5"/>
        <v>Valid</v>
      </c>
      <c r="H69" t="str">
        <f t="shared" si="9"/>
        <v>Service First</v>
      </c>
      <c r="I69" t="str">
        <f t="shared" si="6"/>
        <v>Servicing Agent</v>
      </c>
      <c r="J69" t="str">
        <f t="shared" si="7"/>
        <v>Annuity</v>
      </c>
      <c r="K69" t="str">
        <f t="shared" si="8"/>
        <v>Poor Communication</v>
      </c>
    </row>
    <row r="70" spans="1:11" x14ac:dyDescent="0.35">
      <c r="A70">
        <v>70</v>
      </c>
      <c r="B70" t="s">
        <v>91</v>
      </c>
      <c r="C70" t="s">
        <v>16</v>
      </c>
      <c r="D70" t="s">
        <v>11</v>
      </c>
      <c r="E70" t="s">
        <v>17</v>
      </c>
      <c r="F70" t="s">
        <v>9</v>
      </c>
      <c r="G70" t="str">
        <f t="shared" si="5"/>
        <v>Valid</v>
      </c>
      <c r="H70" t="str">
        <f t="shared" si="9"/>
        <v>Annuity</v>
      </c>
      <c r="I70" t="str">
        <f t="shared" si="6"/>
        <v>Lawyer</v>
      </c>
      <c r="J70" t="str">
        <f t="shared" si="7"/>
        <v>Drawdown</v>
      </c>
      <c r="K70" t="str">
        <f t="shared" si="8"/>
        <v>Misinformation</v>
      </c>
    </row>
    <row r="71" spans="1:11" x14ac:dyDescent="0.35">
      <c r="A71">
        <v>71</v>
      </c>
      <c r="B71" t="s">
        <v>92</v>
      </c>
      <c r="C71" t="s">
        <v>16</v>
      </c>
      <c r="D71" t="s">
        <v>15</v>
      </c>
      <c r="E71" t="s">
        <v>19</v>
      </c>
      <c r="F71" t="s">
        <v>9</v>
      </c>
      <c r="G71" t="str">
        <f t="shared" si="5"/>
        <v>Valid</v>
      </c>
      <c r="H71" t="str">
        <f t="shared" si="9"/>
        <v>Annuity</v>
      </c>
      <c r="I71" t="str">
        <f t="shared" si="6"/>
        <v>Financial Adviser</v>
      </c>
      <c r="J71" t="str">
        <f t="shared" si="7"/>
        <v>Workplace Pension</v>
      </c>
      <c r="K71" t="str">
        <f t="shared" si="8"/>
        <v>Misinformation</v>
      </c>
    </row>
    <row r="72" spans="1:11" x14ac:dyDescent="0.35">
      <c r="A72">
        <v>72</v>
      </c>
      <c r="B72" t="s">
        <v>93</v>
      </c>
      <c r="C72" t="s">
        <v>7</v>
      </c>
      <c r="D72" t="s">
        <v>16</v>
      </c>
      <c r="E72" t="s">
        <v>23</v>
      </c>
      <c r="F72" t="s">
        <v>13</v>
      </c>
      <c r="G72" t="str">
        <f t="shared" si="5"/>
        <v>Valid</v>
      </c>
      <c r="H72" t="str">
        <f t="shared" si="9"/>
        <v>Service First</v>
      </c>
      <c r="I72" t="str">
        <f t="shared" si="6"/>
        <v>Attorney</v>
      </c>
      <c r="J72" t="str">
        <f t="shared" si="7"/>
        <v>Annuity</v>
      </c>
      <c r="K72" t="str">
        <f t="shared" si="8"/>
        <v>Poor Communication</v>
      </c>
    </row>
    <row r="73" spans="1:11" x14ac:dyDescent="0.35">
      <c r="A73">
        <v>73</v>
      </c>
      <c r="B73" t="s">
        <v>94</v>
      </c>
      <c r="C73" t="s">
        <v>11</v>
      </c>
      <c r="D73" t="s">
        <v>16</v>
      </c>
      <c r="E73" t="s">
        <v>8</v>
      </c>
      <c r="F73" t="s">
        <v>13</v>
      </c>
      <c r="G73" t="str">
        <f t="shared" si="5"/>
        <v>Valid</v>
      </c>
      <c r="H73" t="str">
        <f t="shared" si="9"/>
        <v>Drawdown</v>
      </c>
      <c r="I73" t="str">
        <f t="shared" si="6"/>
        <v>Policy Holder</v>
      </c>
      <c r="J73" t="str">
        <f t="shared" si="7"/>
        <v>Annuity</v>
      </c>
      <c r="K73" t="str">
        <f t="shared" si="8"/>
        <v>Poor Communication</v>
      </c>
    </row>
    <row r="74" spans="1:11" x14ac:dyDescent="0.35">
      <c r="A74">
        <v>74</v>
      </c>
      <c r="B74" t="s">
        <v>95</v>
      </c>
      <c r="C74" t="s">
        <v>16</v>
      </c>
      <c r="D74" t="s">
        <v>15</v>
      </c>
      <c r="E74" t="s">
        <v>19</v>
      </c>
      <c r="F74" t="s">
        <v>9</v>
      </c>
      <c r="G74" t="str">
        <f t="shared" si="5"/>
        <v>Valid</v>
      </c>
      <c r="H74" t="str">
        <f t="shared" si="9"/>
        <v>Annuity</v>
      </c>
      <c r="I74" t="str">
        <f t="shared" si="6"/>
        <v>Financial Adviser</v>
      </c>
      <c r="J74" t="str">
        <f t="shared" si="7"/>
        <v>Workplace Pension</v>
      </c>
      <c r="K74" t="str">
        <f t="shared" si="8"/>
        <v>Misinformation</v>
      </c>
    </row>
    <row r="75" spans="1:11" x14ac:dyDescent="0.35">
      <c r="A75">
        <v>75</v>
      </c>
      <c r="B75" t="s">
        <v>96</v>
      </c>
      <c r="C75" t="s">
        <v>16</v>
      </c>
      <c r="D75" t="s">
        <v>7</v>
      </c>
      <c r="E75" t="s">
        <v>19</v>
      </c>
      <c r="F75" t="s">
        <v>13</v>
      </c>
      <c r="G75" t="str">
        <f t="shared" si="5"/>
        <v>Valid</v>
      </c>
      <c r="H75" t="str">
        <f t="shared" si="9"/>
        <v>Annuity</v>
      </c>
      <c r="I75" t="str">
        <f t="shared" si="6"/>
        <v>Financial Adviser</v>
      </c>
      <c r="J75" t="str">
        <f t="shared" si="7"/>
        <v>Service First</v>
      </c>
      <c r="K75" t="str">
        <f t="shared" si="8"/>
        <v>Poor Communication</v>
      </c>
    </row>
    <row r="76" spans="1:11" x14ac:dyDescent="0.35">
      <c r="A76">
        <v>76</v>
      </c>
      <c r="B76" t="s">
        <v>97</v>
      </c>
      <c r="C76" t="s">
        <v>7</v>
      </c>
      <c r="D76" t="s">
        <v>11</v>
      </c>
      <c r="E76" t="s">
        <v>8</v>
      </c>
      <c r="F76" t="s">
        <v>13</v>
      </c>
      <c r="G76" t="str">
        <f t="shared" si="5"/>
        <v>Valid</v>
      </c>
      <c r="H76" t="str">
        <f t="shared" si="9"/>
        <v>Service First</v>
      </c>
      <c r="I76" t="str">
        <f t="shared" si="6"/>
        <v>Policy Holder</v>
      </c>
      <c r="J76" t="str">
        <f t="shared" si="7"/>
        <v>Drawdown</v>
      </c>
      <c r="K76" t="str">
        <f t="shared" si="8"/>
        <v>Poor Communication</v>
      </c>
    </row>
    <row r="77" spans="1:11" x14ac:dyDescent="0.35">
      <c r="A77">
        <v>77</v>
      </c>
      <c r="B77" t="s">
        <v>98</v>
      </c>
      <c r="C77" t="s">
        <v>11</v>
      </c>
      <c r="D77" t="s">
        <v>15</v>
      </c>
      <c r="E77" t="s">
        <v>8</v>
      </c>
      <c r="F77" t="s">
        <v>24</v>
      </c>
      <c r="G77" t="str">
        <f t="shared" si="5"/>
        <v>Valid</v>
      </c>
      <c r="H77" t="str">
        <f t="shared" si="9"/>
        <v>Drawdown</v>
      </c>
      <c r="I77" t="str">
        <f t="shared" si="6"/>
        <v>Policy Holder</v>
      </c>
      <c r="J77" t="str">
        <f t="shared" si="7"/>
        <v>Workplace Pension</v>
      </c>
      <c r="K77" t="str">
        <f t="shared" si="8"/>
        <v>Delayed Response</v>
      </c>
    </row>
    <row r="78" spans="1:11" x14ac:dyDescent="0.35">
      <c r="A78">
        <v>78</v>
      </c>
      <c r="B78" t="s">
        <v>99</v>
      </c>
      <c r="C78" t="s">
        <v>16</v>
      </c>
      <c r="D78" t="s">
        <v>7</v>
      </c>
      <c r="E78" t="s">
        <v>23</v>
      </c>
      <c r="F78" t="s">
        <v>13</v>
      </c>
      <c r="G78" t="str">
        <f t="shared" si="5"/>
        <v>Valid</v>
      </c>
      <c r="H78" t="str">
        <f t="shared" si="9"/>
        <v>Annuity</v>
      </c>
      <c r="I78" t="str">
        <f t="shared" si="6"/>
        <v>Attorney</v>
      </c>
      <c r="J78" t="str">
        <f t="shared" si="7"/>
        <v>Service First</v>
      </c>
      <c r="K78" t="str">
        <f t="shared" si="8"/>
        <v>Poor Communication</v>
      </c>
    </row>
    <row r="79" spans="1:11" x14ac:dyDescent="0.35">
      <c r="A79">
        <v>79</v>
      </c>
      <c r="B79" t="s">
        <v>100</v>
      </c>
      <c r="C79" t="s">
        <v>16</v>
      </c>
      <c r="D79" t="s">
        <v>7</v>
      </c>
      <c r="E79" t="s">
        <v>17</v>
      </c>
      <c r="F79" t="s">
        <v>13</v>
      </c>
      <c r="G79" t="str">
        <f t="shared" si="5"/>
        <v>Valid</v>
      </c>
      <c r="H79" t="str">
        <f t="shared" si="9"/>
        <v>Annuity</v>
      </c>
      <c r="I79" t="str">
        <f t="shared" si="6"/>
        <v>Lawyer</v>
      </c>
      <c r="J79" t="str">
        <f t="shared" si="7"/>
        <v>Service First</v>
      </c>
      <c r="K79" t="str">
        <f t="shared" si="8"/>
        <v>Poor Communication</v>
      </c>
    </row>
    <row r="80" spans="1:11" x14ac:dyDescent="0.35">
      <c r="A80">
        <v>80</v>
      </c>
      <c r="B80" t="s">
        <v>101</v>
      </c>
      <c r="C80" t="s">
        <v>16</v>
      </c>
      <c r="D80" t="s">
        <v>7</v>
      </c>
      <c r="E80" t="s">
        <v>19</v>
      </c>
      <c r="F80" t="s">
        <v>13</v>
      </c>
      <c r="G80" t="str">
        <f t="shared" si="5"/>
        <v>Valid</v>
      </c>
      <c r="H80" t="str">
        <f t="shared" si="9"/>
        <v>Annuity</v>
      </c>
      <c r="I80" t="str">
        <f t="shared" si="6"/>
        <v>Financial Adviser</v>
      </c>
      <c r="J80" t="str">
        <f t="shared" si="7"/>
        <v>Service First</v>
      </c>
      <c r="K80" t="str">
        <f t="shared" si="8"/>
        <v>Poor Communication</v>
      </c>
    </row>
    <row r="81" spans="1:11" x14ac:dyDescent="0.35">
      <c r="A81">
        <v>81</v>
      </c>
      <c r="B81" t="s">
        <v>102</v>
      </c>
      <c r="C81" t="s">
        <v>16</v>
      </c>
      <c r="D81" t="s">
        <v>11</v>
      </c>
      <c r="E81" t="s">
        <v>17</v>
      </c>
      <c r="F81" t="s">
        <v>9</v>
      </c>
      <c r="G81" t="str">
        <f t="shared" si="5"/>
        <v>Valid</v>
      </c>
      <c r="H81" t="str">
        <f t="shared" si="9"/>
        <v>Annuity</v>
      </c>
      <c r="I81" t="str">
        <f t="shared" si="6"/>
        <v>Lawyer</v>
      </c>
      <c r="J81" t="str">
        <f t="shared" si="7"/>
        <v>Drawdown</v>
      </c>
      <c r="K81" t="str">
        <f t="shared" si="8"/>
        <v>Misinformation</v>
      </c>
    </row>
    <row r="82" spans="1:11" x14ac:dyDescent="0.35">
      <c r="A82">
        <v>82</v>
      </c>
      <c r="B82" t="s">
        <v>103</v>
      </c>
      <c r="C82" t="s">
        <v>7</v>
      </c>
      <c r="D82" t="s">
        <v>15</v>
      </c>
      <c r="E82" t="s">
        <v>8</v>
      </c>
      <c r="F82" t="s">
        <v>9</v>
      </c>
      <c r="G82" t="str">
        <f t="shared" si="5"/>
        <v>Valid</v>
      </c>
      <c r="H82" t="str">
        <f t="shared" si="9"/>
        <v>Service First</v>
      </c>
      <c r="I82" t="str">
        <f t="shared" si="6"/>
        <v>Policy Holder</v>
      </c>
      <c r="J82" t="str">
        <f t="shared" si="7"/>
        <v>Workplace Pension</v>
      </c>
      <c r="K82" t="str">
        <f t="shared" si="8"/>
        <v>Misinformation</v>
      </c>
    </row>
    <row r="83" spans="1:11" x14ac:dyDescent="0.35">
      <c r="A83">
        <v>83</v>
      </c>
      <c r="B83" t="s">
        <v>104</v>
      </c>
      <c r="C83" t="s">
        <v>7</v>
      </c>
      <c r="D83" t="s">
        <v>15</v>
      </c>
      <c r="E83" t="s">
        <v>8</v>
      </c>
      <c r="F83" t="s">
        <v>13</v>
      </c>
      <c r="G83" t="str">
        <f t="shared" si="5"/>
        <v>Valid</v>
      </c>
      <c r="H83" t="str">
        <f t="shared" si="9"/>
        <v>Service First</v>
      </c>
      <c r="I83" t="str">
        <f t="shared" si="6"/>
        <v>Policy Holder</v>
      </c>
      <c r="J83" t="str">
        <f t="shared" si="7"/>
        <v>Workplace Pension</v>
      </c>
      <c r="K83" t="str">
        <f t="shared" si="8"/>
        <v>Poor Communication</v>
      </c>
    </row>
    <row r="84" spans="1:11" x14ac:dyDescent="0.35">
      <c r="A84">
        <v>84</v>
      </c>
      <c r="B84" t="s">
        <v>105</v>
      </c>
      <c r="C84" t="s">
        <v>15</v>
      </c>
      <c r="D84" t="s">
        <v>16</v>
      </c>
      <c r="E84" t="s">
        <v>12</v>
      </c>
      <c r="F84" t="s">
        <v>24</v>
      </c>
      <c r="G84" t="str">
        <f t="shared" si="5"/>
        <v>Valid</v>
      </c>
      <c r="H84" t="str">
        <f t="shared" si="9"/>
        <v>Workplace Pension</v>
      </c>
      <c r="I84" t="str">
        <f t="shared" si="6"/>
        <v>Servicing Agent</v>
      </c>
      <c r="J84" t="str">
        <f t="shared" si="7"/>
        <v>Annuity</v>
      </c>
      <c r="K84" t="str">
        <f t="shared" si="8"/>
        <v>Delayed Response</v>
      </c>
    </row>
    <row r="85" spans="1:11" x14ac:dyDescent="0.35">
      <c r="A85">
        <v>85</v>
      </c>
      <c r="B85" t="s">
        <v>106</v>
      </c>
      <c r="C85" t="s">
        <v>11</v>
      </c>
      <c r="D85" t="s">
        <v>7</v>
      </c>
      <c r="E85" t="s">
        <v>23</v>
      </c>
      <c r="F85" t="s">
        <v>9</v>
      </c>
      <c r="G85" t="str">
        <f t="shared" si="5"/>
        <v>Valid</v>
      </c>
      <c r="H85" t="str">
        <f t="shared" si="9"/>
        <v>Drawdown</v>
      </c>
      <c r="I85" t="str">
        <f t="shared" si="6"/>
        <v>Attorney</v>
      </c>
      <c r="J85" t="str">
        <f t="shared" si="7"/>
        <v>Service First</v>
      </c>
      <c r="K85" t="str">
        <f t="shared" si="8"/>
        <v>Misinformation</v>
      </c>
    </row>
    <row r="86" spans="1:11" x14ac:dyDescent="0.35">
      <c r="A86">
        <v>86</v>
      </c>
      <c r="B86" t="s">
        <v>107</v>
      </c>
      <c r="C86" t="s">
        <v>15</v>
      </c>
      <c r="D86" t="s">
        <v>15</v>
      </c>
      <c r="E86" t="s">
        <v>12</v>
      </c>
      <c r="F86" t="s">
        <v>13</v>
      </c>
      <c r="G86" t="str">
        <f t="shared" si="5"/>
        <v>Valid</v>
      </c>
      <c r="H86" t="str">
        <f t="shared" si="9"/>
        <v>Workplace Pension</v>
      </c>
      <c r="I86" t="str">
        <f t="shared" si="6"/>
        <v>Servicing Agent</v>
      </c>
      <c r="J86" t="str">
        <f t="shared" si="7"/>
        <v>Workplace Pension</v>
      </c>
      <c r="K86" t="str">
        <f t="shared" si="8"/>
        <v>Poor Communication</v>
      </c>
    </row>
    <row r="87" spans="1:11" x14ac:dyDescent="0.35">
      <c r="A87">
        <v>87</v>
      </c>
      <c r="B87" t="s">
        <v>108</v>
      </c>
      <c r="C87" t="s">
        <v>15</v>
      </c>
      <c r="D87" t="s">
        <v>7</v>
      </c>
      <c r="E87" t="s">
        <v>17</v>
      </c>
      <c r="F87" t="s">
        <v>13</v>
      </c>
      <c r="G87" t="str">
        <f t="shared" si="5"/>
        <v>Valid</v>
      </c>
      <c r="H87" t="str">
        <f t="shared" si="9"/>
        <v>Workplace Pension</v>
      </c>
      <c r="I87" t="str">
        <f t="shared" si="6"/>
        <v>Lawyer</v>
      </c>
      <c r="J87" t="str">
        <f t="shared" si="7"/>
        <v>Service First</v>
      </c>
      <c r="K87" t="str">
        <f t="shared" si="8"/>
        <v>Poor Communication</v>
      </c>
    </row>
    <row r="88" spans="1:11" x14ac:dyDescent="0.35">
      <c r="A88">
        <v>88</v>
      </c>
      <c r="B88" t="s">
        <v>109</v>
      </c>
      <c r="C88" t="s">
        <v>11</v>
      </c>
      <c r="D88" t="s">
        <v>11</v>
      </c>
      <c r="E88" t="s">
        <v>12</v>
      </c>
      <c r="F88" t="s">
        <v>13</v>
      </c>
      <c r="G88" t="str">
        <f t="shared" si="5"/>
        <v>Valid</v>
      </c>
      <c r="H88" t="str">
        <f t="shared" si="9"/>
        <v>Drawdown</v>
      </c>
      <c r="I88" t="str">
        <f t="shared" si="6"/>
        <v>Servicing Agent</v>
      </c>
      <c r="J88" t="str">
        <f t="shared" si="7"/>
        <v>Drawdown</v>
      </c>
      <c r="K88" t="str">
        <f t="shared" si="8"/>
        <v>Poor Communication</v>
      </c>
    </row>
    <row r="89" spans="1:11" x14ac:dyDescent="0.35">
      <c r="A89">
        <v>89</v>
      </c>
      <c r="B89" t="s">
        <v>110</v>
      </c>
      <c r="C89" t="s">
        <v>15</v>
      </c>
      <c r="D89" t="s">
        <v>11</v>
      </c>
      <c r="E89" t="s">
        <v>12</v>
      </c>
      <c r="F89" t="s">
        <v>13</v>
      </c>
      <c r="G89" t="str">
        <f t="shared" si="5"/>
        <v>Valid</v>
      </c>
      <c r="H89" t="str">
        <f t="shared" si="9"/>
        <v>Workplace Pension</v>
      </c>
      <c r="I89" t="str">
        <f t="shared" si="6"/>
        <v>Servicing Agent</v>
      </c>
      <c r="J89" t="str">
        <f t="shared" si="7"/>
        <v>Drawdown</v>
      </c>
      <c r="K89" t="str">
        <f t="shared" si="8"/>
        <v>Poor Communication</v>
      </c>
    </row>
    <row r="90" spans="1:11" x14ac:dyDescent="0.35">
      <c r="A90">
        <v>90</v>
      </c>
      <c r="B90" t="s">
        <v>111</v>
      </c>
      <c r="C90" t="s">
        <v>11</v>
      </c>
      <c r="D90" t="s">
        <v>7</v>
      </c>
      <c r="E90" t="s">
        <v>12</v>
      </c>
      <c r="F90" t="s">
        <v>24</v>
      </c>
      <c r="G90" t="str">
        <f t="shared" si="5"/>
        <v>Valid</v>
      </c>
      <c r="H90" t="str">
        <f t="shared" si="9"/>
        <v>Drawdown</v>
      </c>
      <c r="I90" t="str">
        <f t="shared" si="6"/>
        <v>Servicing Agent</v>
      </c>
      <c r="J90" t="str">
        <f t="shared" si="7"/>
        <v>Service First</v>
      </c>
      <c r="K90" t="str">
        <f t="shared" si="8"/>
        <v>Delayed Response</v>
      </c>
    </row>
    <row r="91" spans="1:11" x14ac:dyDescent="0.35">
      <c r="A91">
        <v>91</v>
      </c>
      <c r="B91" t="s">
        <v>112</v>
      </c>
      <c r="C91" t="s">
        <v>15</v>
      </c>
      <c r="D91" t="s">
        <v>16</v>
      </c>
      <c r="E91" t="s">
        <v>12</v>
      </c>
      <c r="F91" t="s">
        <v>13</v>
      </c>
      <c r="G91" t="str">
        <f t="shared" si="5"/>
        <v>Valid</v>
      </c>
      <c r="H91" t="str">
        <f t="shared" si="9"/>
        <v>Workplace Pension</v>
      </c>
      <c r="I91" t="str">
        <f t="shared" si="6"/>
        <v>Servicing Agent</v>
      </c>
      <c r="J91" t="str">
        <f t="shared" si="7"/>
        <v>Annuity</v>
      </c>
      <c r="K91" t="str">
        <f t="shared" si="8"/>
        <v>Poor Communication</v>
      </c>
    </row>
    <row r="92" spans="1:11" x14ac:dyDescent="0.35">
      <c r="A92">
        <v>92</v>
      </c>
      <c r="B92" t="s">
        <v>113</v>
      </c>
      <c r="C92" t="s">
        <v>7</v>
      </c>
      <c r="D92" t="s">
        <v>7</v>
      </c>
      <c r="E92" t="s">
        <v>17</v>
      </c>
      <c r="F92" t="s">
        <v>9</v>
      </c>
      <c r="G92" t="str">
        <f t="shared" si="5"/>
        <v>Valid</v>
      </c>
      <c r="H92" t="str">
        <f t="shared" si="9"/>
        <v>Service First</v>
      </c>
      <c r="I92" t="str">
        <f t="shared" si="6"/>
        <v>Lawyer</v>
      </c>
      <c r="J92" t="str">
        <f t="shared" si="7"/>
        <v>Service First</v>
      </c>
      <c r="K92" t="str">
        <f t="shared" si="8"/>
        <v>Misinformation</v>
      </c>
    </row>
    <row r="93" spans="1:11" x14ac:dyDescent="0.35">
      <c r="A93">
        <v>93</v>
      </c>
      <c r="B93" t="s">
        <v>114</v>
      </c>
      <c r="C93" t="s">
        <v>16</v>
      </c>
      <c r="D93" t="s">
        <v>16</v>
      </c>
      <c r="E93" t="s">
        <v>8</v>
      </c>
      <c r="F93" t="s">
        <v>13</v>
      </c>
      <c r="G93" t="str">
        <f t="shared" si="5"/>
        <v>Valid</v>
      </c>
      <c r="H93" t="str">
        <f t="shared" si="9"/>
        <v>Annuity</v>
      </c>
      <c r="I93" t="str">
        <f t="shared" si="6"/>
        <v>Policy Holder</v>
      </c>
      <c r="J93" t="str">
        <f t="shared" si="7"/>
        <v>Annuity</v>
      </c>
      <c r="K93" t="str">
        <f t="shared" si="8"/>
        <v>Poor Communication</v>
      </c>
    </row>
    <row r="94" spans="1:11" x14ac:dyDescent="0.35">
      <c r="A94">
        <v>94</v>
      </c>
      <c r="B94" t="s">
        <v>115</v>
      </c>
      <c r="C94" t="s">
        <v>11</v>
      </c>
      <c r="D94" t="s">
        <v>7</v>
      </c>
      <c r="E94" t="s">
        <v>19</v>
      </c>
      <c r="F94" t="s">
        <v>13</v>
      </c>
      <c r="G94" t="str">
        <f t="shared" si="5"/>
        <v>Valid</v>
      </c>
      <c r="H94" t="str">
        <f t="shared" si="9"/>
        <v>Drawdown</v>
      </c>
      <c r="I94" t="str">
        <f t="shared" si="6"/>
        <v>Financial Adviser</v>
      </c>
      <c r="J94" t="str">
        <f t="shared" si="7"/>
        <v>Service First</v>
      </c>
      <c r="K94" t="str">
        <f t="shared" si="8"/>
        <v>Poor Communication</v>
      </c>
    </row>
    <row r="95" spans="1:11" x14ac:dyDescent="0.35">
      <c r="A95">
        <v>95</v>
      </c>
      <c r="B95" t="s">
        <v>116</v>
      </c>
      <c r="C95" t="s">
        <v>7</v>
      </c>
      <c r="D95" t="s">
        <v>16</v>
      </c>
      <c r="E95" t="s">
        <v>19</v>
      </c>
      <c r="F95" t="s">
        <v>24</v>
      </c>
      <c r="G95" t="str">
        <f t="shared" si="5"/>
        <v>Valid</v>
      </c>
      <c r="H95" t="str">
        <f t="shared" si="9"/>
        <v>Service First</v>
      </c>
      <c r="I95" t="str">
        <f t="shared" si="6"/>
        <v>Financial Adviser</v>
      </c>
      <c r="J95" t="str">
        <f t="shared" si="7"/>
        <v>Annuity</v>
      </c>
      <c r="K95" t="str">
        <f t="shared" si="8"/>
        <v>Delayed Response</v>
      </c>
    </row>
    <row r="96" spans="1:11" x14ac:dyDescent="0.35">
      <c r="A96">
        <v>96</v>
      </c>
      <c r="B96" t="s">
        <v>117</v>
      </c>
      <c r="C96" t="s">
        <v>7</v>
      </c>
      <c r="D96" t="s">
        <v>15</v>
      </c>
      <c r="E96" t="s">
        <v>12</v>
      </c>
      <c r="F96" t="s">
        <v>9</v>
      </c>
      <c r="G96" t="str">
        <f t="shared" si="5"/>
        <v>Valid</v>
      </c>
      <c r="H96" t="str">
        <f t="shared" si="9"/>
        <v>Service First</v>
      </c>
      <c r="I96" t="str">
        <f t="shared" si="6"/>
        <v>Servicing Agent</v>
      </c>
      <c r="J96" t="str">
        <f t="shared" si="7"/>
        <v>Workplace Pension</v>
      </c>
      <c r="K96" t="str">
        <f t="shared" si="8"/>
        <v>Misinformation</v>
      </c>
    </row>
    <row r="97" spans="1:11" x14ac:dyDescent="0.35">
      <c r="A97">
        <v>97</v>
      </c>
      <c r="B97" t="s">
        <v>118</v>
      </c>
      <c r="C97" t="s">
        <v>11</v>
      </c>
      <c r="D97" t="s">
        <v>11</v>
      </c>
      <c r="E97" t="s">
        <v>19</v>
      </c>
      <c r="F97" t="s">
        <v>13</v>
      </c>
      <c r="G97" t="str">
        <f t="shared" si="5"/>
        <v>Valid</v>
      </c>
      <c r="H97" t="str">
        <f t="shared" si="9"/>
        <v>Drawdown</v>
      </c>
      <c r="I97" t="str">
        <f t="shared" si="6"/>
        <v>Financial Adviser</v>
      </c>
      <c r="J97" t="str">
        <f t="shared" si="7"/>
        <v>Drawdown</v>
      </c>
      <c r="K97" t="str">
        <f t="shared" si="8"/>
        <v>Poor Communication</v>
      </c>
    </row>
    <row r="98" spans="1:11" x14ac:dyDescent="0.35">
      <c r="A98">
        <v>98</v>
      </c>
      <c r="B98" t="s">
        <v>119</v>
      </c>
      <c r="C98" t="s">
        <v>7</v>
      </c>
      <c r="D98" t="s">
        <v>16</v>
      </c>
      <c r="E98" t="s">
        <v>12</v>
      </c>
      <c r="F98" t="s">
        <v>13</v>
      </c>
      <c r="G98" t="str">
        <f t="shared" si="5"/>
        <v>Valid</v>
      </c>
      <c r="H98" t="str">
        <f t="shared" si="9"/>
        <v>Service First</v>
      </c>
      <c r="I98" t="str">
        <f t="shared" si="6"/>
        <v>Servicing Agent</v>
      </c>
      <c r="J98" t="str">
        <f t="shared" si="7"/>
        <v>Annuity</v>
      </c>
      <c r="K98" t="str">
        <f t="shared" si="8"/>
        <v>Poor Communication</v>
      </c>
    </row>
    <row r="99" spans="1:11" x14ac:dyDescent="0.35">
      <c r="A99">
        <v>99</v>
      </c>
      <c r="B99" t="s">
        <v>120</v>
      </c>
      <c r="C99" t="s">
        <v>11</v>
      </c>
      <c r="D99" t="s">
        <v>16</v>
      </c>
      <c r="E99" t="s">
        <v>8</v>
      </c>
      <c r="F99" t="s">
        <v>24</v>
      </c>
      <c r="G99" t="str">
        <f t="shared" si="5"/>
        <v>Valid</v>
      </c>
      <c r="H99" t="str">
        <f t="shared" si="9"/>
        <v>Drawdown</v>
      </c>
      <c r="I99" t="str">
        <f t="shared" si="6"/>
        <v>Policy Holder</v>
      </c>
      <c r="J99" t="str">
        <f t="shared" si="7"/>
        <v>Annuity</v>
      </c>
      <c r="K99" t="str">
        <f t="shared" si="8"/>
        <v>Delayed Response</v>
      </c>
    </row>
    <row r="100" spans="1:11" x14ac:dyDescent="0.35">
      <c r="A100">
        <v>100</v>
      </c>
      <c r="B100" t="s">
        <v>121</v>
      </c>
      <c r="C100" t="s">
        <v>11</v>
      </c>
      <c r="D100" t="s">
        <v>11</v>
      </c>
      <c r="E100" t="s">
        <v>8</v>
      </c>
      <c r="F100" t="s">
        <v>24</v>
      </c>
      <c r="G100" t="str">
        <f t="shared" si="5"/>
        <v>Valid</v>
      </c>
      <c r="H100" t="str">
        <f t="shared" si="9"/>
        <v>Drawdown</v>
      </c>
      <c r="I100" t="str">
        <f t="shared" si="6"/>
        <v>Policy Holder</v>
      </c>
      <c r="J100" t="str">
        <f t="shared" si="7"/>
        <v>Drawdown</v>
      </c>
      <c r="K100" t="str">
        <f t="shared" si="8"/>
        <v>Delayed Response</v>
      </c>
    </row>
    <row r="101" spans="1:11" x14ac:dyDescent="0.35">
      <c r="A101">
        <v>101</v>
      </c>
      <c r="B101" t="s">
        <v>122</v>
      </c>
      <c r="C101" t="s">
        <v>11</v>
      </c>
      <c r="D101" t="s">
        <v>7</v>
      </c>
      <c r="E101" t="s">
        <v>19</v>
      </c>
      <c r="F101" t="s">
        <v>9</v>
      </c>
      <c r="G101" t="str">
        <f t="shared" si="5"/>
        <v>Valid</v>
      </c>
      <c r="H101" t="str">
        <f t="shared" si="9"/>
        <v>Drawdown</v>
      </c>
      <c r="I101" t="str">
        <f t="shared" si="6"/>
        <v>Financial Adviser</v>
      </c>
      <c r="J101" t="str">
        <f t="shared" si="7"/>
        <v>Service First</v>
      </c>
      <c r="K101" t="str">
        <f t="shared" si="8"/>
        <v>Misinformation</v>
      </c>
    </row>
    <row r="102" spans="1:11" x14ac:dyDescent="0.35">
      <c r="A102">
        <v>102</v>
      </c>
      <c r="B102" t="s">
        <v>123</v>
      </c>
      <c r="C102" t="s">
        <v>16</v>
      </c>
      <c r="D102" t="s">
        <v>7</v>
      </c>
      <c r="E102" t="s">
        <v>23</v>
      </c>
      <c r="F102" t="s">
        <v>24</v>
      </c>
      <c r="G102" t="str">
        <f t="shared" si="5"/>
        <v>Valid</v>
      </c>
      <c r="H102" t="str">
        <f t="shared" si="9"/>
        <v>Annuity</v>
      </c>
      <c r="I102" t="str">
        <f t="shared" si="6"/>
        <v>Attorney</v>
      </c>
      <c r="J102" t="str">
        <f t="shared" si="7"/>
        <v>Service First</v>
      </c>
      <c r="K102" t="str">
        <f t="shared" si="8"/>
        <v>Delayed Response</v>
      </c>
    </row>
    <row r="103" spans="1:11" x14ac:dyDescent="0.35">
      <c r="A103">
        <v>103</v>
      </c>
      <c r="B103" t="s">
        <v>124</v>
      </c>
      <c r="C103" t="s">
        <v>7</v>
      </c>
      <c r="D103" t="s">
        <v>16</v>
      </c>
      <c r="E103" t="s">
        <v>12</v>
      </c>
      <c r="F103" t="s">
        <v>9</v>
      </c>
      <c r="G103" t="str">
        <f t="shared" si="5"/>
        <v>Valid</v>
      </c>
      <c r="H103" t="str">
        <f t="shared" si="9"/>
        <v>Service First</v>
      </c>
      <c r="I103" t="str">
        <f t="shared" si="6"/>
        <v>Servicing Agent</v>
      </c>
      <c r="J103" t="str">
        <f t="shared" si="7"/>
        <v>Annuity</v>
      </c>
      <c r="K103" t="str">
        <f t="shared" si="8"/>
        <v>Misinformation</v>
      </c>
    </row>
    <row r="104" spans="1:11" x14ac:dyDescent="0.35">
      <c r="A104">
        <v>104</v>
      </c>
      <c r="B104" t="s">
        <v>125</v>
      </c>
      <c r="C104" t="s">
        <v>11</v>
      </c>
      <c r="D104" t="s">
        <v>11</v>
      </c>
      <c r="E104" t="s">
        <v>23</v>
      </c>
      <c r="F104" t="s">
        <v>13</v>
      </c>
      <c r="G104" t="str">
        <f t="shared" si="5"/>
        <v>Valid</v>
      </c>
      <c r="H104" t="str">
        <f t="shared" si="9"/>
        <v>Drawdown</v>
      </c>
      <c r="I104" t="str">
        <f t="shared" si="6"/>
        <v>Attorney</v>
      </c>
      <c r="J104" t="str">
        <f t="shared" si="7"/>
        <v>Drawdown</v>
      </c>
      <c r="K104" t="str">
        <f t="shared" si="8"/>
        <v>Poor Communication</v>
      </c>
    </row>
    <row r="105" spans="1:11" x14ac:dyDescent="0.35">
      <c r="A105">
        <v>105</v>
      </c>
      <c r="B105" t="s">
        <v>126</v>
      </c>
      <c r="C105" t="s">
        <v>16</v>
      </c>
      <c r="D105" t="s">
        <v>7</v>
      </c>
      <c r="E105" t="s">
        <v>17</v>
      </c>
      <c r="F105" t="s">
        <v>13</v>
      </c>
      <c r="G105" t="str">
        <f t="shared" si="5"/>
        <v>Valid</v>
      </c>
      <c r="H105" t="str">
        <f t="shared" si="9"/>
        <v>Annuity</v>
      </c>
      <c r="I105" t="str">
        <f t="shared" si="6"/>
        <v>Lawyer</v>
      </c>
      <c r="J105" t="str">
        <f t="shared" si="7"/>
        <v>Service First</v>
      </c>
      <c r="K105" t="str">
        <f t="shared" si="8"/>
        <v>Poor Communication</v>
      </c>
    </row>
    <row r="106" spans="1:11" x14ac:dyDescent="0.35">
      <c r="A106">
        <v>106</v>
      </c>
      <c r="B106" t="s">
        <v>127</v>
      </c>
      <c r="C106" t="s">
        <v>11</v>
      </c>
      <c r="D106" t="s">
        <v>15</v>
      </c>
      <c r="E106" t="s">
        <v>17</v>
      </c>
      <c r="F106" t="s">
        <v>13</v>
      </c>
      <c r="G106" t="str">
        <f t="shared" si="5"/>
        <v>Valid</v>
      </c>
      <c r="H106" t="str">
        <f t="shared" si="9"/>
        <v>Drawdown</v>
      </c>
      <c r="I106" t="str">
        <f t="shared" si="6"/>
        <v>Lawyer</v>
      </c>
      <c r="J106" t="str">
        <f t="shared" si="7"/>
        <v>Workplace Pension</v>
      </c>
      <c r="K106" t="str">
        <f t="shared" si="8"/>
        <v>Poor Communication</v>
      </c>
    </row>
    <row r="107" spans="1:11" x14ac:dyDescent="0.35">
      <c r="A107">
        <v>107</v>
      </c>
      <c r="B107" t="s">
        <v>128</v>
      </c>
      <c r="C107" t="s">
        <v>15</v>
      </c>
      <c r="D107" t="s">
        <v>15</v>
      </c>
      <c r="E107" t="s">
        <v>12</v>
      </c>
      <c r="F107" t="s">
        <v>24</v>
      </c>
      <c r="G107" t="str">
        <f t="shared" si="5"/>
        <v>Valid</v>
      </c>
      <c r="H107" t="str">
        <f t="shared" si="9"/>
        <v>Workplace Pension</v>
      </c>
      <c r="I107" t="str">
        <f t="shared" si="6"/>
        <v>Servicing Agent</v>
      </c>
      <c r="J107" t="str">
        <f t="shared" si="7"/>
        <v>Workplace Pension</v>
      </c>
      <c r="K107" t="str">
        <f t="shared" si="8"/>
        <v>Delayed Response</v>
      </c>
    </row>
    <row r="108" spans="1:11" x14ac:dyDescent="0.35">
      <c r="A108">
        <v>108</v>
      </c>
      <c r="B108" t="s">
        <v>129</v>
      </c>
      <c r="C108" t="s">
        <v>15</v>
      </c>
      <c r="D108" t="s">
        <v>15</v>
      </c>
      <c r="E108" t="s">
        <v>23</v>
      </c>
      <c r="F108" t="s">
        <v>13</v>
      </c>
      <c r="G108" t="str">
        <f t="shared" si="5"/>
        <v>Valid</v>
      </c>
      <c r="H108" t="str">
        <f t="shared" si="9"/>
        <v>Workplace Pension</v>
      </c>
      <c r="I108" t="str">
        <f t="shared" si="6"/>
        <v>Attorney</v>
      </c>
      <c r="J108" t="str">
        <f t="shared" si="7"/>
        <v>Workplace Pension</v>
      </c>
      <c r="K108" t="str">
        <f t="shared" si="8"/>
        <v>Poor Communication</v>
      </c>
    </row>
    <row r="109" spans="1:11" x14ac:dyDescent="0.35">
      <c r="A109">
        <v>109</v>
      </c>
      <c r="B109" t="s">
        <v>130</v>
      </c>
      <c r="C109" t="s">
        <v>15</v>
      </c>
      <c r="D109" t="s">
        <v>15</v>
      </c>
      <c r="E109" t="s">
        <v>19</v>
      </c>
      <c r="F109" t="s">
        <v>9</v>
      </c>
      <c r="G109" t="str">
        <f t="shared" si="5"/>
        <v>Valid</v>
      </c>
      <c r="H109" t="str">
        <f t="shared" si="9"/>
        <v>Workplace Pension</v>
      </c>
      <c r="I109" t="str">
        <f t="shared" si="6"/>
        <v>Financial Adviser</v>
      </c>
      <c r="J109" t="str">
        <f t="shared" si="7"/>
        <v>Workplace Pension</v>
      </c>
      <c r="K109" t="str">
        <f t="shared" si="8"/>
        <v>Misinformation</v>
      </c>
    </row>
    <row r="110" spans="1:11" x14ac:dyDescent="0.35">
      <c r="A110">
        <v>110</v>
      </c>
      <c r="B110" t="s">
        <v>131</v>
      </c>
      <c r="C110" t="s">
        <v>15</v>
      </c>
      <c r="D110" t="s">
        <v>15</v>
      </c>
      <c r="E110" t="s">
        <v>17</v>
      </c>
      <c r="F110" t="s">
        <v>13</v>
      </c>
      <c r="G110" t="str">
        <f t="shared" si="5"/>
        <v>Valid</v>
      </c>
      <c r="H110" t="str">
        <f t="shared" si="9"/>
        <v>Workplace Pension</v>
      </c>
      <c r="I110" t="str">
        <f t="shared" si="6"/>
        <v>Lawyer</v>
      </c>
      <c r="J110" t="str">
        <f t="shared" si="7"/>
        <v>Workplace Pension</v>
      </c>
      <c r="K110" t="str">
        <f t="shared" si="8"/>
        <v>Poor Communication</v>
      </c>
    </row>
    <row r="111" spans="1:11" x14ac:dyDescent="0.35">
      <c r="A111">
        <v>111</v>
      </c>
      <c r="B111" t="s">
        <v>132</v>
      </c>
      <c r="C111" t="s">
        <v>16</v>
      </c>
      <c r="D111" t="s">
        <v>16</v>
      </c>
      <c r="E111" t="s">
        <v>17</v>
      </c>
      <c r="F111" t="s">
        <v>24</v>
      </c>
      <c r="G111" t="str">
        <f t="shared" si="5"/>
        <v>Valid</v>
      </c>
      <c r="H111" t="str">
        <f t="shared" si="9"/>
        <v>Annuity</v>
      </c>
      <c r="I111" t="str">
        <f t="shared" si="6"/>
        <v>Lawyer</v>
      </c>
      <c r="J111" t="str">
        <f t="shared" si="7"/>
        <v>Annuity</v>
      </c>
      <c r="K111" t="str">
        <f t="shared" si="8"/>
        <v>Delayed Response</v>
      </c>
    </row>
    <row r="112" spans="1:11" x14ac:dyDescent="0.35">
      <c r="A112">
        <v>112</v>
      </c>
      <c r="B112" t="s">
        <v>133</v>
      </c>
      <c r="C112" t="s">
        <v>7</v>
      </c>
      <c r="D112" t="s">
        <v>11</v>
      </c>
      <c r="E112" t="s">
        <v>8</v>
      </c>
      <c r="F112" t="s">
        <v>13</v>
      </c>
      <c r="G112" t="str">
        <f t="shared" si="5"/>
        <v>Valid</v>
      </c>
      <c r="H112" t="str">
        <f t="shared" si="9"/>
        <v>Service First</v>
      </c>
      <c r="I112" t="str">
        <f t="shared" si="6"/>
        <v>Policy Holder</v>
      </c>
      <c r="J112" t="str">
        <f t="shared" si="7"/>
        <v>Drawdown</v>
      </c>
      <c r="K112" t="str">
        <f t="shared" si="8"/>
        <v>Poor Communication</v>
      </c>
    </row>
    <row r="113" spans="1:11" x14ac:dyDescent="0.35">
      <c r="A113">
        <v>113</v>
      </c>
      <c r="B113" t="s">
        <v>134</v>
      </c>
      <c r="C113" t="s">
        <v>11</v>
      </c>
      <c r="D113" t="s">
        <v>11</v>
      </c>
      <c r="E113" t="s">
        <v>23</v>
      </c>
      <c r="F113" t="s">
        <v>13</v>
      </c>
      <c r="G113" t="str">
        <f t="shared" si="5"/>
        <v>Valid</v>
      </c>
      <c r="H113" t="str">
        <f t="shared" si="9"/>
        <v>Drawdown</v>
      </c>
      <c r="I113" t="str">
        <f t="shared" si="6"/>
        <v>Attorney</v>
      </c>
      <c r="J113" t="str">
        <f t="shared" si="7"/>
        <v>Drawdown</v>
      </c>
      <c r="K113" t="str">
        <f t="shared" si="8"/>
        <v>Poor Communication</v>
      </c>
    </row>
    <row r="114" spans="1:11" x14ac:dyDescent="0.35">
      <c r="A114">
        <v>114</v>
      </c>
      <c r="B114" t="s">
        <v>135</v>
      </c>
      <c r="C114" t="s">
        <v>16</v>
      </c>
      <c r="D114" t="s">
        <v>15</v>
      </c>
      <c r="E114" t="s">
        <v>8</v>
      </c>
      <c r="F114" t="s">
        <v>24</v>
      </c>
      <c r="G114" t="str">
        <f t="shared" si="5"/>
        <v>Valid</v>
      </c>
      <c r="H114" t="str">
        <f t="shared" si="9"/>
        <v>Annuity</v>
      </c>
      <c r="I114" t="str">
        <f t="shared" si="6"/>
        <v>Policy Holder</v>
      </c>
      <c r="J114" t="str">
        <f t="shared" si="7"/>
        <v>Workplace Pension</v>
      </c>
      <c r="K114" t="str">
        <f t="shared" si="8"/>
        <v>Delayed Response</v>
      </c>
    </row>
    <row r="115" spans="1:11" x14ac:dyDescent="0.35">
      <c r="A115">
        <v>115</v>
      </c>
      <c r="B115" t="s">
        <v>136</v>
      </c>
      <c r="C115" t="s">
        <v>11</v>
      </c>
      <c r="D115" t="s">
        <v>15</v>
      </c>
      <c r="E115" t="s">
        <v>23</v>
      </c>
      <c r="F115" t="s">
        <v>9</v>
      </c>
      <c r="G115" t="str">
        <f t="shared" si="5"/>
        <v>Valid</v>
      </c>
      <c r="H115" t="str">
        <f t="shared" si="9"/>
        <v>Drawdown</v>
      </c>
      <c r="I115" t="str">
        <f t="shared" si="6"/>
        <v>Attorney</v>
      </c>
      <c r="J115" t="str">
        <f t="shared" si="7"/>
        <v>Workplace Pension</v>
      </c>
      <c r="K115" t="str">
        <f t="shared" si="8"/>
        <v>Misinformation</v>
      </c>
    </row>
    <row r="116" spans="1:11" x14ac:dyDescent="0.35">
      <c r="A116">
        <v>116</v>
      </c>
      <c r="B116" t="s">
        <v>137</v>
      </c>
      <c r="C116" t="s">
        <v>16</v>
      </c>
      <c r="D116" t="s">
        <v>11</v>
      </c>
      <c r="E116" t="s">
        <v>17</v>
      </c>
      <c r="F116" t="s">
        <v>13</v>
      </c>
      <c r="G116" t="str">
        <f t="shared" si="5"/>
        <v>Valid</v>
      </c>
      <c r="H116" t="str">
        <f t="shared" si="9"/>
        <v>Annuity</v>
      </c>
      <c r="I116" t="str">
        <f t="shared" si="6"/>
        <v>Lawyer</v>
      </c>
      <c r="J116" t="str">
        <f t="shared" si="7"/>
        <v>Drawdown</v>
      </c>
      <c r="K116" t="str">
        <f t="shared" si="8"/>
        <v>Poor Communication</v>
      </c>
    </row>
    <row r="117" spans="1:11" x14ac:dyDescent="0.35">
      <c r="A117">
        <v>117</v>
      </c>
      <c r="B117" t="s">
        <v>138</v>
      </c>
      <c r="C117" t="s">
        <v>7</v>
      </c>
      <c r="D117" t="s">
        <v>16</v>
      </c>
      <c r="E117" t="s">
        <v>23</v>
      </c>
      <c r="F117" t="s">
        <v>13</v>
      </c>
      <c r="G117" t="str">
        <f t="shared" si="5"/>
        <v>Valid</v>
      </c>
      <c r="H117" t="str">
        <f t="shared" si="9"/>
        <v>Service First</v>
      </c>
      <c r="I117" t="str">
        <f t="shared" si="6"/>
        <v>Attorney</v>
      </c>
      <c r="J117" t="str">
        <f t="shared" si="7"/>
        <v>Annuity</v>
      </c>
      <c r="K117" t="str">
        <f t="shared" si="8"/>
        <v>Poor Communication</v>
      </c>
    </row>
    <row r="118" spans="1:11" x14ac:dyDescent="0.35">
      <c r="A118">
        <v>118</v>
      </c>
      <c r="B118" t="s">
        <v>139</v>
      </c>
      <c r="C118" t="s">
        <v>7</v>
      </c>
      <c r="D118" t="s">
        <v>7</v>
      </c>
      <c r="E118" t="s">
        <v>17</v>
      </c>
      <c r="F118" t="s">
        <v>13</v>
      </c>
      <c r="G118" t="str">
        <f t="shared" si="5"/>
        <v>Valid</v>
      </c>
      <c r="H118" t="str">
        <f t="shared" si="9"/>
        <v>Service First</v>
      </c>
      <c r="I118" t="str">
        <f t="shared" si="6"/>
        <v>Lawyer</v>
      </c>
      <c r="J118" t="str">
        <f t="shared" si="7"/>
        <v>Service First</v>
      </c>
      <c r="K118" t="str">
        <f t="shared" si="8"/>
        <v>Poor Communication</v>
      </c>
    </row>
    <row r="119" spans="1:11" x14ac:dyDescent="0.35">
      <c r="A119">
        <v>119</v>
      </c>
      <c r="B119" t="s">
        <v>140</v>
      </c>
      <c r="C119" t="s">
        <v>15</v>
      </c>
      <c r="D119" t="s">
        <v>16</v>
      </c>
      <c r="E119" t="s">
        <v>17</v>
      </c>
      <c r="F119" t="s">
        <v>9</v>
      </c>
      <c r="G119" t="str">
        <f t="shared" si="5"/>
        <v>Valid</v>
      </c>
      <c r="H119" t="str">
        <f t="shared" si="9"/>
        <v>Workplace Pension</v>
      </c>
      <c r="I119" t="str">
        <f t="shared" si="6"/>
        <v>Lawyer</v>
      </c>
      <c r="J119" t="str">
        <f t="shared" si="7"/>
        <v>Annuity</v>
      </c>
      <c r="K119" t="str">
        <f t="shared" si="8"/>
        <v>Misinformation</v>
      </c>
    </row>
    <row r="120" spans="1:11" x14ac:dyDescent="0.35">
      <c r="A120">
        <v>120</v>
      </c>
      <c r="B120" t="s">
        <v>141</v>
      </c>
      <c r="C120" t="s">
        <v>16</v>
      </c>
      <c r="D120" t="s">
        <v>7</v>
      </c>
      <c r="E120" t="s">
        <v>19</v>
      </c>
      <c r="F120" t="s">
        <v>9</v>
      </c>
      <c r="G120" t="str">
        <f t="shared" si="5"/>
        <v>Valid</v>
      </c>
      <c r="H120" t="str">
        <f t="shared" si="9"/>
        <v>Annuity</v>
      </c>
      <c r="I120" t="str">
        <f t="shared" si="6"/>
        <v>Financial Adviser</v>
      </c>
      <c r="J120" t="str">
        <f t="shared" si="7"/>
        <v>Service First</v>
      </c>
      <c r="K120" t="str">
        <f t="shared" si="8"/>
        <v>Misinformation</v>
      </c>
    </row>
    <row r="121" spans="1:11" x14ac:dyDescent="0.35">
      <c r="A121">
        <v>121</v>
      </c>
      <c r="B121" t="s">
        <v>142</v>
      </c>
      <c r="C121" t="s">
        <v>11</v>
      </c>
      <c r="D121" t="s">
        <v>7</v>
      </c>
      <c r="E121" t="s">
        <v>17</v>
      </c>
      <c r="F121" t="s">
        <v>24</v>
      </c>
      <c r="G121" t="str">
        <f t="shared" si="5"/>
        <v>Valid</v>
      </c>
      <c r="H121" t="str">
        <f t="shared" si="9"/>
        <v>Drawdown</v>
      </c>
      <c r="I121" t="str">
        <f t="shared" si="6"/>
        <v>Lawyer</v>
      </c>
      <c r="J121" t="str">
        <f t="shared" si="7"/>
        <v>Service First</v>
      </c>
      <c r="K121" t="str">
        <f t="shared" si="8"/>
        <v>Delayed Response</v>
      </c>
    </row>
    <row r="122" spans="1:11" x14ac:dyDescent="0.35">
      <c r="A122">
        <v>122</v>
      </c>
      <c r="B122" t="s">
        <v>143</v>
      </c>
      <c r="C122" t="s">
        <v>7</v>
      </c>
      <c r="D122" t="s">
        <v>16</v>
      </c>
      <c r="E122" t="s">
        <v>12</v>
      </c>
      <c r="F122" t="s">
        <v>13</v>
      </c>
      <c r="G122" t="str">
        <f t="shared" si="5"/>
        <v>Valid</v>
      </c>
      <c r="H122" t="str">
        <f t="shared" si="9"/>
        <v>Service First</v>
      </c>
      <c r="I122" t="str">
        <f t="shared" si="6"/>
        <v>Servicing Agent</v>
      </c>
      <c r="J122" t="str">
        <f t="shared" si="7"/>
        <v>Annuity</v>
      </c>
      <c r="K122" t="str">
        <f t="shared" si="8"/>
        <v>Poor Communication</v>
      </c>
    </row>
    <row r="123" spans="1:11" x14ac:dyDescent="0.35">
      <c r="A123">
        <v>123</v>
      </c>
      <c r="B123" t="s">
        <v>144</v>
      </c>
      <c r="C123" t="s">
        <v>11</v>
      </c>
      <c r="D123" t="s">
        <v>15</v>
      </c>
      <c r="E123" t="s">
        <v>23</v>
      </c>
      <c r="F123" t="s">
        <v>13</v>
      </c>
      <c r="G123" t="str">
        <f t="shared" si="5"/>
        <v>Valid</v>
      </c>
      <c r="H123" t="str">
        <f t="shared" si="9"/>
        <v>Drawdown</v>
      </c>
      <c r="I123" t="str">
        <f t="shared" si="6"/>
        <v>Attorney</v>
      </c>
      <c r="J123" t="str">
        <f t="shared" si="7"/>
        <v>Workplace Pension</v>
      </c>
      <c r="K123" t="str">
        <f t="shared" si="8"/>
        <v>Poor Communication</v>
      </c>
    </row>
    <row r="124" spans="1:11" x14ac:dyDescent="0.35">
      <c r="A124">
        <v>124</v>
      </c>
      <c r="B124" t="s">
        <v>145</v>
      </c>
      <c r="C124" t="s">
        <v>11</v>
      </c>
      <c r="D124" t="s">
        <v>15</v>
      </c>
      <c r="E124" t="s">
        <v>12</v>
      </c>
      <c r="F124" t="s">
        <v>13</v>
      </c>
      <c r="G124" t="str">
        <f t="shared" si="5"/>
        <v>Valid</v>
      </c>
      <c r="H124" t="str">
        <f t="shared" si="9"/>
        <v>Drawdown</v>
      </c>
      <c r="I124" t="str">
        <f t="shared" si="6"/>
        <v>Servicing Agent</v>
      </c>
      <c r="J124" t="str">
        <f t="shared" si="7"/>
        <v>Workplace Pension</v>
      </c>
      <c r="K124" t="str">
        <f t="shared" si="8"/>
        <v>Poor Communication</v>
      </c>
    </row>
    <row r="125" spans="1:11" x14ac:dyDescent="0.35">
      <c r="A125">
        <v>125</v>
      </c>
      <c r="B125" t="s">
        <v>146</v>
      </c>
      <c r="C125" t="s">
        <v>16</v>
      </c>
      <c r="D125" t="s">
        <v>7</v>
      </c>
      <c r="E125" t="s">
        <v>17</v>
      </c>
      <c r="F125" t="s">
        <v>13</v>
      </c>
      <c r="G125" t="str">
        <f t="shared" si="5"/>
        <v>Valid</v>
      </c>
      <c r="H125" t="str">
        <f t="shared" si="9"/>
        <v>Annuity</v>
      </c>
      <c r="I125" t="str">
        <f t="shared" si="6"/>
        <v>Lawyer</v>
      </c>
      <c r="J125" t="str">
        <f t="shared" si="7"/>
        <v>Service First</v>
      </c>
      <c r="K125" t="str">
        <f t="shared" si="8"/>
        <v>Poor Communication</v>
      </c>
    </row>
    <row r="126" spans="1:11" x14ac:dyDescent="0.35">
      <c r="A126">
        <v>126</v>
      </c>
      <c r="B126" t="s">
        <v>147</v>
      </c>
      <c r="C126" t="s">
        <v>16</v>
      </c>
      <c r="D126" t="s">
        <v>11</v>
      </c>
      <c r="E126" t="s">
        <v>23</v>
      </c>
      <c r="F126" t="s">
        <v>24</v>
      </c>
      <c r="G126" t="str">
        <f t="shared" si="5"/>
        <v>Valid</v>
      </c>
      <c r="H126" t="str">
        <f t="shared" si="9"/>
        <v>Annuity</v>
      </c>
      <c r="I126" t="str">
        <f t="shared" si="6"/>
        <v>Attorney</v>
      </c>
      <c r="J126" t="str">
        <f t="shared" si="7"/>
        <v>Drawdown</v>
      </c>
      <c r="K126" t="str">
        <f t="shared" si="8"/>
        <v>Delayed Response</v>
      </c>
    </row>
    <row r="127" spans="1:11" x14ac:dyDescent="0.35">
      <c r="A127">
        <v>127</v>
      </c>
      <c r="B127" t="s">
        <v>148</v>
      </c>
      <c r="C127" t="s">
        <v>16</v>
      </c>
      <c r="D127" t="s">
        <v>7</v>
      </c>
      <c r="E127" t="s">
        <v>12</v>
      </c>
      <c r="F127" t="s">
        <v>13</v>
      </c>
      <c r="G127" t="str">
        <f t="shared" si="5"/>
        <v>Valid</v>
      </c>
      <c r="H127" t="str">
        <f t="shared" si="9"/>
        <v>Annuity</v>
      </c>
      <c r="I127" t="str">
        <f t="shared" si="6"/>
        <v>Servicing Agent</v>
      </c>
      <c r="J127" t="str">
        <f t="shared" si="7"/>
        <v>Service First</v>
      </c>
      <c r="K127" t="str">
        <f t="shared" si="8"/>
        <v>Poor Communication</v>
      </c>
    </row>
    <row r="128" spans="1:11" x14ac:dyDescent="0.35">
      <c r="A128">
        <v>128</v>
      </c>
      <c r="B128" t="s">
        <v>149</v>
      </c>
      <c r="C128" t="s">
        <v>15</v>
      </c>
      <c r="D128" t="s">
        <v>15</v>
      </c>
      <c r="E128" t="s">
        <v>8</v>
      </c>
      <c r="F128" t="s">
        <v>9</v>
      </c>
      <c r="G128" t="str">
        <f t="shared" si="5"/>
        <v>Valid</v>
      </c>
      <c r="H128" t="str">
        <f t="shared" si="9"/>
        <v>Workplace Pension</v>
      </c>
      <c r="I128" t="str">
        <f t="shared" si="6"/>
        <v>Policy Holder</v>
      </c>
      <c r="J128" t="str">
        <f t="shared" si="7"/>
        <v>Workplace Pension</v>
      </c>
      <c r="K128" t="str">
        <f t="shared" si="8"/>
        <v>Misinformation</v>
      </c>
    </row>
    <row r="129" spans="1:11" x14ac:dyDescent="0.35">
      <c r="A129">
        <v>129</v>
      </c>
      <c r="B129" t="s">
        <v>150</v>
      </c>
      <c r="C129" t="s">
        <v>15</v>
      </c>
      <c r="D129" t="s">
        <v>7</v>
      </c>
      <c r="E129" t="s">
        <v>12</v>
      </c>
      <c r="F129" t="s">
        <v>9</v>
      </c>
      <c r="G129" t="str">
        <f t="shared" ref="G129:G192" si="10">IF(AND(LEN(B129)=8, ISNUMBER(VALUE(RIGHT(B129,6)))), "Valid", "Invalid")</f>
        <v>Valid</v>
      </c>
      <c r="H129" t="str">
        <f t="shared" si="9"/>
        <v>Workplace Pension</v>
      </c>
      <c r="I129" t="str">
        <f t="shared" si="6"/>
        <v>Servicing Agent</v>
      </c>
      <c r="J129" t="str">
        <f t="shared" si="7"/>
        <v>Service First</v>
      </c>
      <c r="K129" t="str">
        <f t="shared" si="8"/>
        <v>Misinformation</v>
      </c>
    </row>
    <row r="130" spans="1:11" x14ac:dyDescent="0.35">
      <c r="A130">
        <v>130</v>
      </c>
      <c r="B130" t="s">
        <v>151</v>
      </c>
      <c r="C130" t="s">
        <v>7</v>
      </c>
      <c r="D130" t="s">
        <v>11</v>
      </c>
      <c r="E130" t="s">
        <v>23</v>
      </c>
      <c r="F130" t="s">
        <v>13</v>
      </c>
      <c r="G130" t="str">
        <f t="shared" si="10"/>
        <v>Valid</v>
      </c>
      <c r="H130" t="str">
        <f t="shared" si="9"/>
        <v>Service First</v>
      </c>
      <c r="I130" t="str">
        <f t="shared" ref="I130:I193" si="11">IF(E130="PolicyHolder","Policy Holder",PROPER(TRIM(E130)))</f>
        <v>Attorney</v>
      </c>
      <c r="J130" t="str">
        <f t="shared" ref="J130:J193" si="12">IF(D130="", "Unknown", D130)</f>
        <v>Drawdown</v>
      </c>
      <c r="K130" t="str">
        <f t="shared" ref="K130:K193" si="13">IF(F130="Poor Comm","Poor Communication",PROPER(TRIM(F130)))</f>
        <v>Poor Communication</v>
      </c>
    </row>
    <row r="131" spans="1:11" x14ac:dyDescent="0.35">
      <c r="A131">
        <v>131</v>
      </c>
      <c r="B131" t="s">
        <v>152</v>
      </c>
      <c r="C131" t="s">
        <v>16</v>
      </c>
      <c r="D131" t="s">
        <v>16</v>
      </c>
      <c r="E131" t="s">
        <v>23</v>
      </c>
      <c r="F131" t="s">
        <v>13</v>
      </c>
      <c r="G131" t="str">
        <f t="shared" si="10"/>
        <v>Valid</v>
      </c>
      <c r="H131" t="str">
        <f t="shared" ref="H131:H194" si="14">PROPER(TRIM(C131))</f>
        <v>Annuity</v>
      </c>
      <c r="I131" t="str">
        <f t="shared" si="11"/>
        <v>Attorney</v>
      </c>
      <c r="J131" t="str">
        <f t="shared" si="12"/>
        <v>Annuity</v>
      </c>
      <c r="K131" t="str">
        <f t="shared" si="13"/>
        <v>Poor Communication</v>
      </c>
    </row>
    <row r="132" spans="1:11" x14ac:dyDescent="0.35">
      <c r="A132">
        <v>132</v>
      </c>
      <c r="B132" t="s">
        <v>153</v>
      </c>
      <c r="C132" t="s">
        <v>15</v>
      </c>
      <c r="D132" t="s">
        <v>7</v>
      </c>
      <c r="E132" t="s">
        <v>19</v>
      </c>
      <c r="F132" t="s">
        <v>9</v>
      </c>
      <c r="G132" t="str">
        <f t="shared" si="10"/>
        <v>Valid</v>
      </c>
      <c r="H132" t="str">
        <f t="shared" si="14"/>
        <v>Workplace Pension</v>
      </c>
      <c r="I132" t="str">
        <f t="shared" si="11"/>
        <v>Financial Adviser</v>
      </c>
      <c r="J132" t="str">
        <f t="shared" si="12"/>
        <v>Service First</v>
      </c>
      <c r="K132" t="str">
        <f t="shared" si="13"/>
        <v>Misinformation</v>
      </c>
    </row>
    <row r="133" spans="1:11" x14ac:dyDescent="0.35">
      <c r="A133">
        <v>133</v>
      </c>
      <c r="B133" t="s">
        <v>154</v>
      </c>
      <c r="C133" t="s">
        <v>16</v>
      </c>
      <c r="D133" t="s">
        <v>16</v>
      </c>
      <c r="E133" t="s">
        <v>8</v>
      </c>
      <c r="F133" t="s">
        <v>9</v>
      </c>
      <c r="G133" t="str">
        <f t="shared" si="10"/>
        <v>Valid</v>
      </c>
      <c r="H133" t="str">
        <f t="shared" si="14"/>
        <v>Annuity</v>
      </c>
      <c r="I133" t="str">
        <f t="shared" si="11"/>
        <v>Policy Holder</v>
      </c>
      <c r="J133" t="str">
        <f t="shared" si="12"/>
        <v>Annuity</v>
      </c>
      <c r="K133" t="str">
        <f t="shared" si="13"/>
        <v>Misinformation</v>
      </c>
    </row>
    <row r="134" spans="1:11" x14ac:dyDescent="0.35">
      <c r="A134">
        <v>134</v>
      </c>
      <c r="B134" t="s">
        <v>155</v>
      </c>
      <c r="C134" t="s">
        <v>16</v>
      </c>
      <c r="D134" t="s">
        <v>7</v>
      </c>
      <c r="E134" t="s">
        <v>8</v>
      </c>
      <c r="F134" t="s">
        <v>9</v>
      </c>
      <c r="G134" t="str">
        <f t="shared" si="10"/>
        <v>Valid</v>
      </c>
      <c r="H134" t="str">
        <f t="shared" si="14"/>
        <v>Annuity</v>
      </c>
      <c r="I134" t="str">
        <f t="shared" si="11"/>
        <v>Policy Holder</v>
      </c>
      <c r="J134" t="str">
        <f t="shared" si="12"/>
        <v>Service First</v>
      </c>
      <c r="K134" t="str">
        <f t="shared" si="13"/>
        <v>Misinformation</v>
      </c>
    </row>
    <row r="135" spans="1:11" x14ac:dyDescent="0.35">
      <c r="A135">
        <v>135</v>
      </c>
      <c r="B135" t="s">
        <v>156</v>
      </c>
      <c r="C135" t="s">
        <v>16</v>
      </c>
      <c r="D135" t="s">
        <v>15</v>
      </c>
      <c r="E135" t="s">
        <v>23</v>
      </c>
      <c r="F135" t="s">
        <v>13</v>
      </c>
      <c r="G135" t="str">
        <f t="shared" si="10"/>
        <v>Valid</v>
      </c>
      <c r="H135" t="str">
        <f t="shared" si="14"/>
        <v>Annuity</v>
      </c>
      <c r="I135" t="str">
        <f t="shared" si="11"/>
        <v>Attorney</v>
      </c>
      <c r="J135" t="str">
        <f t="shared" si="12"/>
        <v>Workplace Pension</v>
      </c>
      <c r="K135" t="str">
        <f t="shared" si="13"/>
        <v>Poor Communication</v>
      </c>
    </row>
    <row r="136" spans="1:11" x14ac:dyDescent="0.35">
      <c r="A136">
        <v>136</v>
      </c>
      <c r="B136" t="s">
        <v>157</v>
      </c>
      <c r="C136" t="s">
        <v>7</v>
      </c>
      <c r="D136" t="s">
        <v>16</v>
      </c>
      <c r="E136" t="s">
        <v>8</v>
      </c>
      <c r="F136" t="s">
        <v>9</v>
      </c>
      <c r="G136" t="str">
        <f t="shared" si="10"/>
        <v>Valid</v>
      </c>
      <c r="H136" t="str">
        <f t="shared" si="14"/>
        <v>Service First</v>
      </c>
      <c r="I136" t="str">
        <f t="shared" si="11"/>
        <v>Policy Holder</v>
      </c>
      <c r="J136" t="str">
        <f t="shared" si="12"/>
        <v>Annuity</v>
      </c>
      <c r="K136" t="str">
        <f t="shared" si="13"/>
        <v>Misinformation</v>
      </c>
    </row>
    <row r="137" spans="1:11" x14ac:dyDescent="0.35">
      <c r="A137">
        <v>137</v>
      </c>
      <c r="B137" t="s">
        <v>158</v>
      </c>
      <c r="C137" t="s">
        <v>16</v>
      </c>
      <c r="D137" t="s">
        <v>7</v>
      </c>
      <c r="E137" t="s">
        <v>23</v>
      </c>
      <c r="F137" t="s">
        <v>9</v>
      </c>
      <c r="G137" t="str">
        <f t="shared" si="10"/>
        <v>Valid</v>
      </c>
      <c r="H137" t="str">
        <f t="shared" si="14"/>
        <v>Annuity</v>
      </c>
      <c r="I137" t="str">
        <f t="shared" si="11"/>
        <v>Attorney</v>
      </c>
      <c r="J137" t="str">
        <f t="shared" si="12"/>
        <v>Service First</v>
      </c>
      <c r="K137" t="str">
        <f t="shared" si="13"/>
        <v>Misinformation</v>
      </c>
    </row>
    <row r="138" spans="1:11" x14ac:dyDescent="0.35">
      <c r="A138">
        <v>138</v>
      </c>
      <c r="B138" t="s">
        <v>159</v>
      </c>
      <c r="C138" t="s">
        <v>15</v>
      </c>
      <c r="D138" t="s">
        <v>16</v>
      </c>
      <c r="E138" t="s">
        <v>8</v>
      </c>
      <c r="F138" t="s">
        <v>13</v>
      </c>
      <c r="G138" t="str">
        <f t="shared" si="10"/>
        <v>Valid</v>
      </c>
      <c r="H138" t="str">
        <f t="shared" si="14"/>
        <v>Workplace Pension</v>
      </c>
      <c r="I138" t="str">
        <f t="shared" si="11"/>
        <v>Policy Holder</v>
      </c>
      <c r="J138" t="str">
        <f t="shared" si="12"/>
        <v>Annuity</v>
      </c>
      <c r="K138" t="str">
        <f t="shared" si="13"/>
        <v>Poor Communication</v>
      </c>
    </row>
    <row r="139" spans="1:11" x14ac:dyDescent="0.35">
      <c r="A139">
        <v>139</v>
      </c>
      <c r="B139" t="s">
        <v>160</v>
      </c>
      <c r="C139" t="s">
        <v>15</v>
      </c>
      <c r="D139" t="s">
        <v>16</v>
      </c>
      <c r="E139" t="s">
        <v>23</v>
      </c>
      <c r="F139" t="s">
        <v>13</v>
      </c>
      <c r="G139" t="str">
        <f t="shared" si="10"/>
        <v>Valid</v>
      </c>
      <c r="H139" t="str">
        <f t="shared" si="14"/>
        <v>Workplace Pension</v>
      </c>
      <c r="I139" t="str">
        <f t="shared" si="11"/>
        <v>Attorney</v>
      </c>
      <c r="J139" t="str">
        <f t="shared" si="12"/>
        <v>Annuity</v>
      </c>
      <c r="K139" t="str">
        <f t="shared" si="13"/>
        <v>Poor Communication</v>
      </c>
    </row>
    <row r="140" spans="1:11" x14ac:dyDescent="0.35">
      <c r="A140">
        <v>140</v>
      </c>
      <c r="B140" t="s">
        <v>161</v>
      </c>
      <c r="C140" t="s">
        <v>16</v>
      </c>
      <c r="D140" t="s">
        <v>15</v>
      </c>
      <c r="E140" t="s">
        <v>8</v>
      </c>
      <c r="F140" t="s">
        <v>9</v>
      </c>
      <c r="G140" t="str">
        <f t="shared" si="10"/>
        <v>Valid</v>
      </c>
      <c r="H140" t="str">
        <f t="shared" si="14"/>
        <v>Annuity</v>
      </c>
      <c r="I140" t="str">
        <f t="shared" si="11"/>
        <v>Policy Holder</v>
      </c>
      <c r="J140" t="str">
        <f t="shared" si="12"/>
        <v>Workplace Pension</v>
      </c>
      <c r="K140" t="str">
        <f t="shared" si="13"/>
        <v>Misinformation</v>
      </c>
    </row>
    <row r="141" spans="1:11" x14ac:dyDescent="0.35">
      <c r="A141">
        <v>141</v>
      </c>
      <c r="B141" t="s">
        <v>162</v>
      </c>
      <c r="C141" t="s">
        <v>16</v>
      </c>
      <c r="D141" t="s">
        <v>15</v>
      </c>
      <c r="E141" t="s">
        <v>23</v>
      </c>
      <c r="F141" t="s">
        <v>9</v>
      </c>
      <c r="G141" t="str">
        <f t="shared" si="10"/>
        <v>Valid</v>
      </c>
      <c r="H141" t="str">
        <f t="shared" si="14"/>
        <v>Annuity</v>
      </c>
      <c r="I141" t="str">
        <f t="shared" si="11"/>
        <v>Attorney</v>
      </c>
      <c r="J141" t="str">
        <f t="shared" si="12"/>
        <v>Workplace Pension</v>
      </c>
      <c r="K141" t="str">
        <f t="shared" si="13"/>
        <v>Misinformation</v>
      </c>
    </row>
    <row r="142" spans="1:11" x14ac:dyDescent="0.35">
      <c r="A142">
        <v>142</v>
      </c>
      <c r="B142" t="s">
        <v>163</v>
      </c>
      <c r="C142" t="s">
        <v>11</v>
      </c>
      <c r="D142" t="s">
        <v>11</v>
      </c>
      <c r="E142" t="s">
        <v>12</v>
      </c>
      <c r="F142" t="s">
        <v>9</v>
      </c>
      <c r="G142" t="str">
        <f t="shared" si="10"/>
        <v>Valid</v>
      </c>
      <c r="H142" t="str">
        <f t="shared" si="14"/>
        <v>Drawdown</v>
      </c>
      <c r="I142" t="str">
        <f t="shared" si="11"/>
        <v>Servicing Agent</v>
      </c>
      <c r="J142" t="str">
        <f t="shared" si="12"/>
        <v>Drawdown</v>
      </c>
      <c r="K142" t="str">
        <f t="shared" si="13"/>
        <v>Misinformation</v>
      </c>
    </row>
    <row r="143" spans="1:11" x14ac:dyDescent="0.35">
      <c r="A143">
        <v>143</v>
      </c>
      <c r="B143" t="s">
        <v>164</v>
      </c>
      <c r="C143" t="s">
        <v>16</v>
      </c>
      <c r="D143" t="s">
        <v>16</v>
      </c>
      <c r="E143" t="s">
        <v>17</v>
      </c>
      <c r="F143" t="s">
        <v>24</v>
      </c>
      <c r="G143" t="str">
        <f t="shared" si="10"/>
        <v>Valid</v>
      </c>
      <c r="H143" t="str">
        <f t="shared" si="14"/>
        <v>Annuity</v>
      </c>
      <c r="I143" t="str">
        <f t="shared" si="11"/>
        <v>Lawyer</v>
      </c>
      <c r="J143" t="str">
        <f t="shared" si="12"/>
        <v>Annuity</v>
      </c>
      <c r="K143" t="str">
        <f t="shared" si="13"/>
        <v>Delayed Response</v>
      </c>
    </row>
    <row r="144" spans="1:11" x14ac:dyDescent="0.35">
      <c r="A144">
        <v>144</v>
      </c>
      <c r="B144" t="s">
        <v>165</v>
      </c>
      <c r="C144" t="s">
        <v>7</v>
      </c>
      <c r="D144" t="s">
        <v>7</v>
      </c>
      <c r="E144" t="s">
        <v>12</v>
      </c>
      <c r="F144" t="s">
        <v>13</v>
      </c>
      <c r="G144" t="str">
        <f t="shared" si="10"/>
        <v>Valid</v>
      </c>
      <c r="H144" t="str">
        <f t="shared" si="14"/>
        <v>Service First</v>
      </c>
      <c r="I144" t="str">
        <f t="shared" si="11"/>
        <v>Servicing Agent</v>
      </c>
      <c r="J144" t="str">
        <f t="shared" si="12"/>
        <v>Service First</v>
      </c>
      <c r="K144" t="str">
        <f t="shared" si="13"/>
        <v>Poor Communication</v>
      </c>
    </row>
    <row r="145" spans="1:11" x14ac:dyDescent="0.35">
      <c r="A145">
        <v>145</v>
      </c>
      <c r="B145" t="s">
        <v>166</v>
      </c>
      <c r="C145" t="s">
        <v>11</v>
      </c>
      <c r="D145" t="s">
        <v>15</v>
      </c>
      <c r="E145" t="s">
        <v>17</v>
      </c>
      <c r="F145" t="s">
        <v>24</v>
      </c>
      <c r="G145" t="str">
        <f t="shared" si="10"/>
        <v>Valid</v>
      </c>
      <c r="H145" t="str">
        <f t="shared" si="14"/>
        <v>Drawdown</v>
      </c>
      <c r="I145" t="str">
        <f t="shared" si="11"/>
        <v>Lawyer</v>
      </c>
      <c r="J145" t="str">
        <f t="shared" si="12"/>
        <v>Workplace Pension</v>
      </c>
      <c r="K145" t="str">
        <f t="shared" si="13"/>
        <v>Delayed Response</v>
      </c>
    </row>
    <row r="146" spans="1:11" x14ac:dyDescent="0.35">
      <c r="A146">
        <v>146</v>
      </c>
      <c r="B146" t="s">
        <v>167</v>
      </c>
      <c r="C146" t="s">
        <v>11</v>
      </c>
      <c r="D146" t="s">
        <v>15</v>
      </c>
      <c r="E146" t="s">
        <v>19</v>
      </c>
      <c r="F146" t="s">
        <v>13</v>
      </c>
      <c r="G146" t="str">
        <f t="shared" si="10"/>
        <v>Valid</v>
      </c>
      <c r="H146" t="str">
        <f t="shared" si="14"/>
        <v>Drawdown</v>
      </c>
      <c r="I146" t="str">
        <f t="shared" si="11"/>
        <v>Financial Adviser</v>
      </c>
      <c r="J146" t="str">
        <f t="shared" si="12"/>
        <v>Workplace Pension</v>
      </c>
      <c r="K146" t="str">
        <f t="shared" si="13"/>
        <v>Poor Communication</v>
      </c>
    </row>
    <row r="147" spans="1:11" x14ac:dyDescent="0.35">
      <c r="A147">
        <v>147</v>
      </c>
      <c r="B147" t="s">
        <v>168</v>
      </c>
      <c r="C147" t="s">
        <v>15</v>
      </c>
      <c r="D147" t="s">
        <v>16</v>
      </c>
      <c r="E147" t="s">
        <v>19</v>
      </c>
      <c r="F147" t="s">
        <v>13</v>
      </c>
      <c r="G147" t="str">
        <f t="shared" si="10"/>
        <v>Valid</v>
      </c>
      <c r="H147" t="str">
        <f t="shared" si="14"/>
        <v>Workplace Pension</v>
      </c>
      <c r="I147" t="str">
        <f t="shared" si="11"/>
        <v>Financial Adviser</v>
      </c>
      <c r="J147" t="str">
        <f t="shared" si="12"/>
        <v>Annuity</v>
      </c>
      <c r="K147" t="str">
        <f t="shared" si="13"/>
        <v>Poor Communication</v>
      </c>
    </row>
    <row r="148" spans="1:11" x14ac:dyDescent="0.35">
      <c r="A148">
        <v>148</v>
      </c>
      <c r="B148" t="s">
        <v>169</v>
      </c>
      <c r="C148" t="s">
        <v>15</v>
      </c>
      <c r="D148" t="s">
        <v>7</v>
      </c>
      <c r="E148" t="s">
        <v>17</v>
      </c>
      <c r="F148" t="s">
        <v>9</v>
      </c>
      <c r="G148" t="str">
        <f t="shared" si="10"/>
        <v>Valid</v>
      </c>
      <c r="H148" t="str">
        <f t="shared" si="14"/>
        <v>Workplace Pension</v>
      </c>
      <c r="I148" t="str">
        <f t="shared" si="11"/>
        <v>Lawyer</v>
      </c>
      <c r="J148" t="str">
        <f t="shared" si="12"/>
        <v>Service First</v>
      </c>
      <c r="K148" t="str">
        <f t="shared" si="13"/>
        <v>Misinformation</v>
      </c>
    </row>
    <row r="149" spans="1:11" x14ac:dyDescent="0.35">
      <c r="A149">
        <v>149</v>
      </c>
      <c r="B149" t="s">
        <v>170</v>
      </c>
      <c r="C149" t="s">
        <v>16</v>
      </c>
      <c r="D149" t="s">
        <v>16</v>
      </c>
      <c r="E149" t="s">
        <v>8</v>
      </c>
      <c r="F149" t="s">
        <v>13</v>
      </c>
      <c r="G149" t="str">
        <f t="shared" si="10"/>
        <v>Valid</v>
      </c>
      <c r="H149" t="str">
        <f t="shared" si="14"/>
        <v>Annuity</v>
      </c>
      <c r="I149" t="str">
        <f t="shared" si="11"/>
        <v>Policy Holder</v>
      </c>
      <c r="J149" t="str">
        <f t="shared" si="12"/>
        <v>Annuity</v>
      </c>
      <c r="K149" t="str">
        <f t="shared" si="13"/>
        <v>Poor Communication</v>
      </c>
    </row>
    <row r="150" spans="1:11" x14ac:dyDescent="0.35">
      <c r="A150">
        <v>150</v>
      </c>
      <c r="B150" t="s">
        <v>171</v>
      </c>
      <c r="C150" t="s">
        <v>7</v>
      </c>
      <c r="D150" t="s">
        <v>11</v>
      </c>
      <c r="E150" t="s">
        <v>23</v>
      </c>
      <c r="F150" t="s">
        <v>9</v>
      </c>
      <c r="G150" t="str">
        <f t="shared" si="10"/>
        <v>Valid</v>
      </c>
      <c r="H150" t="str">
        <f t="shared" si="14"/>
        <v>Service First</v>
      </c>
      <c r="I150" t="str">
        <f t="shared" si="11"/>
        <v>Attorney</v>
      </c>
      <c r="J150" t="str">
        <f t="shared" si="12"/>
        <v>Drawdown</v>
      </c>
      <c r="K150" t="str">
        <f t="shared" si="13"/>
        <v>Misinformation</v>
      </c>
    </row>
    <row r="151" spans="1:11" x14ac:dyDescent="0.35">
      <c r="A151">
        <v>151</v>
      </c>
      <c r="B151" t="s">
        <v>172</v>
      </c>
      <c r="C151" t="s">
        <v>15</v>
      </c>
      <c r="D151" t="s">
        <v>7</v>
      </c>
      <c r="E151" t="s">
        <v>23</v>
      </c>
      <c r="F151" t="s">
        <v>13</v>
      </c>
      <c r="G151" t="str">
        <f t="shared" si="10"/>
        <v>Valid</v>
      </c>
      <c r="H151" t="str">
        <f t="shared" si="14"/>
        <v>Workplace Pension</v>
      </c>
      <c r="I151" t="str">
        <f t="shared" si="11"/>
        <v>Attorney</v>
      </c>
      <c r="J151" t="str">
        <f t="shared" si="12"/>
        <v>Service First</v>
      </c>
      <c r="K151" t="str">
        <f t="shared" si="13"/>
        <v>Poor Communication</v>
      </c>
    </row>
    <row r="152" spans="1:11" x14ac:dyDescent="0.35">
      <c r="A152">
        <v>152</v>
      </c>
      <c r="B152" t="s">
        <v>173</v>
      </c>
      <c r="C152" t="s">
        <v>15</v>
      </c>
      <c r="D152" t="s">
        <v>7</v>
      </c>
      <c r="E152" t="s">
        <v>23</v>
      </c>
      <c r="F152" t="s">
        <v>9</v>
      </c>
      <c r="G152" t="str">
        <f t="shared" si="10"/>
        <v>Valid</v>
      </c>
      <c r="H152" t="str">
        <f t="shared" si="14"/>
        <v>Workplace Pension</v>
      </c>
      <c r="I152" t="str">
        <f t="shared" si="11"/>
        <v>Attorney</v>
      </c>
      <c r="J152" t="str">
        <f t="shared" si="12"/>
        <v>Service First</v>
      </c>
      <c r="K152" t="str">
        <f t="shared" si="13"/>
        <v>Misinformation</v>
      </c>
    </row>
    <row r="153" spans="1:11" x14ac:dyDescent="0.35">
      <c r="A153">
        <v>153</v>
      </c>
      <c r="B153" t="s">
        <v>174</v>
      </c>
      <c r="C153" t="s">
        <v>11</v>
      </c>
      <c r="D153" t="s">
        <v>11</v>
      </c>
      <c r="E153" t="s">
        <v>19</v>
      </c>
      <c r="F153" t="s">
        <v>24</v>
      </c>
      <c r="G153" t="str">
        <f t="shared" si="10"/>
        <v>Valid</v>
      </c>
      <c r="H153" t="str">
        <f t="shared" si="14"/>
        <v>Drawdown</v>
      </c>
      <c r="I153" t="str">
        <f t="shared" si="11"/>
        <v>Financial Adviser</v>
      </c>
      <c r="J153" t="str">
        <f t="shared" si="12"/>
        <v>Drawdown</v>
      </c>
      <c r="K153" t="str">
        <f t="shared" si="13"/>
        <v>Delayed Response</v>
      </c>
    </row>
    <row r="154" spans="1:11" x14ac:dyDescent="0.35">
      <c r="A154">
        <v>154</v>
      </c>
      <c r="B154" t="s">
        <v>175</v>
      </c>
      <c r="C154" t="s">
        <v>15</v>
      </c>
      <c r="D154" t="s">
        <v>11</v>
      </c>
      <c r="E154" t="s">
        <v>8</v>
      </c>
      <c r="F154" t="s">
        <v>13</v>
      </c>
      <c r="G154" t="str">
        <f t="shared" si="10"/>
        <v>Valid</v>
      </c>
      <c r="H154" t="str">
        <f t="shared" si="14"/>
        <v>Workplace Pension</v>
      </c>
      <c r="I154" t="str">
        <f t="shared" si="11"/>
        <v>Policy Holder</v>
      </c>
      <c r="J154" t="str">
        <f t="shared" si="12"/>
        <v>Drawdown</v>
      </c>
      <c r="K154" t="str">
        <f t="shared" si="13"/>
        <v>Poor Communication</v>
      </c>
    </row>
    <row r="155" spans="1:11" x14ac:dyDescent="0.35">
      <c r="A155">
        <v>155</v>
      </c>
      <c r="B155" t="s">
        <v>176</v>
      </c>
      <c r="C155" t="s">
        <v>16</v>
      </c>
      <c r="D155" t="s">
        <v>7</v>
      </c>
      <c r="E155" t="s">
        <v>17</v>
      </c>
      <c r="F155" t="s">
        <v>9</v>
      </c>
      <c r="G155" t="str">
        <f t="shared" si="10"/>
        <v>Valid</v>
      </c>
      <c r="H155" t="str">
        <f t="shared" si="14"/>
        <v>Annuity</v>
      </c>
      <c r="I155" t="str">
        <f t="shared" si="11"/>
        <v>Lawyer</v>
      </c>
      <c r="J155" t="str">
        <f t="shared" si="12"/>
        <v>Service First</v>
      </c>
      <c r="K155" t="str">
        <f t="shared" si="13"/>
        <v>Misinformation</v>
      </c>
    </row>
    <row r="156" spans="1:11" x14ac:dyDescent="0.35">
      <c r="A156">
        <v>156</v>
      </c>
      <c r="B156" t="s">
        <v>177</v>
      </c>
      <c r="C156" t="s">
        <v>11</v>
      </c>
      <c r="D156" t="s">
        <v>7</v>
      </c>
      <c r="E156" t="s">
        <v>23</v>
      </c>
      <c r="F156" t="s">
        <v>13</v>
      </c>
      <c r="G156" t="str">
        <f t="shared" si="10"/>
        <v>Valid</v>
      </c>
      <c r="H156" t="str">
        <f t="shared" si="14"/>
        <v>Drawdown</v>
      </c>
      <c r="I156" t="str">
        <f t="shared" si="11"/>
        <v>Attorney</v>
      </c>
      <c r="J156" t="str">
        <f t="shared" si="12"/>
        <v>Service First</v>
      </c>
      <c r="K156" t="str">
        <f t="shared" si="13"/>
        <v>Poor Communication</v>
      </c>
    </row>
    <row r="157" spans="1:11" x14ac:dyDescent="0.35">
      <c r="A157">
        <v>157</v>
      </c>
      <c r="B157" t="s">
        <v>178</v>
      </c>
      <c r="C157" t="s">
        <v>15</v>
      </c>
      <c r="D157" t="s">
        <v>15</v>
      </c>
      <c r="E157" t="s">
        <v>19</v>
      </c>
      <c r="F157" t="s">
        <v>9</v>
      </c>
      <c r="G157" t="str">
        <f t="shared" si="10"/>
        <v>Valid</v>
      </c>
      <c r="H157" t="str">
        <f t="shared" si="14"/>
        <v>Workplace Pension</v>
      </c>
      <c r="I157" t="str">
        <f t="shared" si="11"/>
        <v>Financial Adviser</v>
      </c>
      <c r="J157" t="str">
        <f t="shared" si="12"/>
        <v>Workplace Pension</v>
      </c>
      <c r="K157" t="str">
        <f t="shared" si="13"/>
        <v>Misinformation</v>
      </c>
    </row>
    <row r="158" spans="1:11" x14ac:dyDescent="0.35">
      <c r="A158">
        <v>158</v>
      </c>
      <c r="B158" t="s">
        <v>179</v>
      </c>
      <c r="C158" t="s">
        <v>15</v>
      </c>
      <c r="D158" t="s">
        <v>15</v>
      </c>
      <c r="E158" t="s">
        <v>12</v>
      </c>
      <c r="F158" t="s">
        <v>13</v>
      </c>
      <c r="G158" t="str">
        <f t="shared" si="10"/>
        <v>Valid</v>
      </c>
      <c r="H158" t="str">
        <f t="shared" si="14"/>
        <v>Workplace Pension</v>
      </c>
      <c r="I158" t="str">
        <f t="shared" si="11"/>
        <v>Servicing Agent</v>
      </c>
      <c r="J158" t="str">
        <f t="shared" si="12"/>
        <v>Workplace Pension</v>
      </c>
      <c r="K158" t="str">
        <f t="shared" si="13"/>
        <v>Poor Communication</v>
      </c>
    </row>
    <row r="159" spans="1:11" x14ac:dyDescent="0.35">
      <c r="A159">
        <v>159</v>
      </c>
      <c r="B159" t="s">
        <v>180</v>
      </c>
      <c r="C159" t="s">
        <v>11</v>
      </c>
      <c r="D159" t="s">
        <v>7</v>
      </c>
      <c r="E159" t="s">
        <v>23</v>
      </c>
      <c r="F159" t="s">
        <v>9</v>
      </c>
      <c r="G159" t="str">
        <f t="shared" si="10"/>
        <v>Valid</v>
      </c>
      <c r="H159" t="str">
        <f t="shared" si="14"/>
        <v>Drawdown</v>
      </c>
      <c r="I159" t="str">
        <f t="shared" si="11"/>
        <v>Attorney</v>
      </c>
      <c r="J159" t="str">
        <f t="shared" si="12"/>
        <v>Service First</v>
      </c>
      <c r="K159" t="str">
        <f t="shared" si="13"/>
        <v>Misinformation</v>
      </c>
    </row>
    <row r="160" spans="1:11" x14ac:dyDescent="0.35">
      <c r="A160">
        <v>160</v>
      </c>
      <c r="B160" t="s">
        <v>181</v>
      </c>
      <c r="C160" t="s">
        <v>16</v>
      </c>
      <c r="D160" t="s">
        <v>15</v>
      </c>
      <c r="E160" t="s">
        <v>12</v>
      </c>
      <c r="F160" t="s">
        <v>9</v>
      </c>
      <c r="G160" t="str">
        <f t="shared" si="10"/>
        <v>Valid</v>
      </c>
      <c r="H160" t="str">
        <f t="shared" si="14"/>
        <v>Annuity</v>
      </c>
      <c r="I160" t="str">
        <f t="shared" si="11"/>
        <v>Servicing Agent</v>
      </c>
      <c r="J160" t="str">
        <f t="shared" si="12"/>
        <v>Workplace Pension</v>
      </c>
      <c r="K160" t="str">
        <f t="shared" si="13"/>
        <v>Misinformation</v>
      </c>
    </row>
    <row r="161" spans="1:11" x14ac:dyDescent="0.35">
      <c r="A161">
        <v>161</v>
      </c>
      <c r="B161" t="s">
        <v>182</v>
      </c>
      <c r="C161" t="s">
        <v>7</v>
      </c>
      <c r="D161" t="s">
        <v>15</v>
      </c>
      <c r="E161" t="s">
        <v>8</v>
      </c>
      <c r="F161" t="s">
        <v>9</v>
      </c>
      <c r="G161" t="str">
        <f t="shared" si="10"/>
        <v>Valid</v>
      </c>
      <c r="H161" t="str">
        <f t="shared" si="14"/>
        <v>Service First</v>
      </c>
      <c r="I161" t="str">
        <f t="shared" si="11"/>
        <v>Policy Holder</v>
      </c>
      <c r="J161" t="str">
        <f t="shared" si="12"/>
        <v>Workplace Pension</v>
      </c>
      <c r="K161" t="str">
        <f t="shared" si="13"/>
        <v>Misinformation</v>
      </c>
    </row>
    <row r="162" spans="1:11" x14ac:dyDescent="0.35">
      <c r="A162">
        <v>162</v>
      </c>
      <c r="B162" t="s">
        <v>183</v>
      </c>
      <c r="C162" t="s">
        <v>15</v>
      </c>
      <c r="D162" t="s">
        <v>7</v>
      </c>
      <c r="E162" t="s">
        <v>17</v>
      </c>
      <c r="F162" t="s">
        <v>24</v>
      </c>
      <c r="G162" t="str">
        <f t="shared" si="10"/>
        <v>Valid</v>
      </c>
      <c r="H162" t="str">
        <f t="shared" si="14"/>
        <v>Workplace Pension</v>
      </c>
      <c r="I162" t="str">
        <f t="shared" si="11"/>
        <v>Lawyer</v>
      </c>
      <c r="J162" t="str">
        <f t="shared" si="12"/>
        <v>Service First</v>
      </c>
      <c r="K162" t="str">
        <f t="shared" si="13"/>
        <v>Delayed Response</v>
      </c>
    </row>
    <row r="163" spans="1:11" x14ac:dyDescent="0.35">
      <c r="A163">
        <v>163</v>
      </c>
      <c r="B163" t="s">
        <v>184</v>
      </c>
      <c r="C163" t="s">
        <v>11</v>
      </c>
      <c r="D163" t="s">
        <v>7</v>
      </c>
      <c r="E163" t="s">
        <v>8</v>
      </c>
      <c r="F163" t="s">
        <v>24</v>
      </c>
      <c r="G163" t="str">
        <f t="shared" si="10"/>
        <v>Valid</v>
      </c>
      <c r="H163" t="str">
        <f t="shared" si="14"/>
        <v>Drawdown</v>
      </c>
      <c r="I163" t="str">
        <f t="shared" si="11"/>
        <v>Policy Holder</v>
      </c>
      <c r="J163" t="str">
        <f t="shared" si="12"/>
        <v>Service First</v>
      </c>
      <c r="K163" t="str">
        <f t="shared" si="13"/>
        <v>Delayed Response</v>
      </c>
    </row>
    <row r="164" spans="1:11" x14ac:dyDescent="0.35">
      <c r="A164">
        <v>164</v>
      </c>
      <c r="B164" t="s">
        <v>185</v>
      </c>
      <c r="C164" t="s">
        <v>15</v>
      </c>
      <c r="D164" t="s">
        <v>11</v>
      </c>
      <c r="E164" t="s">
        <v>23</v>
      </c>
      <c r="F164" t="s">
        <v>13</v>
      </c>
      <c r="G164" t="str">
        <f t="shared" si="10"/>
        <v>Valid</v>
      </c>
      <c r="H164" t="str">
        <f t="shared" si="14"/>
        <v>Workplace Pension</v>
      </c>
      <c r="I164" t="str">
        <f t="shared" si="11"/>
        <v>Attorney</v>
      </c>
      <c r="J164" t="str">
        <f t="shared" si="12"/>
        <v>Drawdown</v>
      </c>
      <c r="K164" t="str">
        <f t="shared" si="13"/>
        <v>Poor Communication</v>
      </c>
    </row>
    <row r="165" spans="1:11" x14ac:dyDescent="0.35">
      <c r="A165">
        <v>165</v>
      </c>
      <c r="B165" t="s">
        <v>186</v>
      </c>
      <c r="C165" t="s">
        <v>7</v>
      </c>
      <c r="D165" t="s">
        <v>16</v>
      </c>
      <c r="E165" t="s">
        <v>23</v>
      </c>
      <c r="F165" t="s">
        <v>9</v>
      </c>
      <c r="G165" t="str">
        <f t="shared" si="10"/>
        <v>Valid</v>
      </c>
      <c r="H165" t="str">
        <f t="shared" si="14"/>
        <v>Service First</v>
      </c>
      <c r="I165" t="str">
        <f t="shared" si="11"/>
        <v>Attorney</v>
      </c>
      <c r="J165" t="str">
        <f t="shared" si="12"/>
        <v>Annuity</v>
      </c>
      <c r="K165" t="str">
        <f t="shared" si="13"/>
        <v>Misinformation</v>
      </c>
    </row>
    <row r="166" spans="1:11" x14ac:dyDescent="0.35">
      <c r="A166">
        <v>166</v>
      </c>
      <c r="B166" t="s">
        <v>187</v>
      </c>
      <c r="C166" t="s">
        <v>11</v>
      </c>
      <c r="D166" t="s">
        <v>11</v>
      </c>
      <c r="E166" t="s">
        <v>19</v>
      </c>
      <c r="F166" t="s">
        <v>9</v>
      </c>
      <c r="G166" t="str">
        <f t="shared" si="10"/>
        <v>Valid</v>
      </c>
      <c r="H166" t="str">
        <f t="shared" si="14"/>
        <v>Drawdown</v>
      </c>
      <c r="I166" t="str">
        <f t="shared" si="11"/>
        <v>Financial Adviser</v>
      </c>
      <c r="J166" t="str">
        <f t="shared" si="12"/>
        <v>Drawdown</v>
      </c>
      <c r="K166" t="str">
        <f t="shared" si="13"/>
        <v>Misinformation</v>
      </c>
    </row>
    <row r="167" spans="1:11" x14ac:dyDescent="0.35">
      <c r="A167">
        <v>167</v>
      </c>
      <c r="B167" t="s">
        <v>188</v>
      </c>
      <c r="C167" t="s">
        <v>7</v>
      </c>
      <c r="D167" t="s">
        <v>11</v>
      </c>
      <c r="E167" t="s">
        <v>8</v>
      </c>
      <c r="F167" t="s">
        <v>9</v>
      </c>
      <c r="G167" t="str">
        <f t="shared" si="10"/>
        <v>Valid</v>
      </c>
      <c r="H167" t="str">
        <f t="shared" si="14"/>
        <v>Service First</v>
      </c>
      <c r="I167" t="str">
        <f t="shared" si="11"/>
        <v>Policy Holder</v>
      </c>
      <c r="J167" t="str">
        <f t="shared" si="12"/>
        <v>Drawdown</v>
      </c>
      <c r="K167" t="str">
        <f t="shared" si="13"/>
        <v>Misinformation</v>
      </c>
    </row>
    <row r="168" spans="1:11" x14ac:dyDescent="0.35">
      <c r="A168">
        <v>168</v>
      </c>
      <c r="B168" t="s">
        <v>189</v>
      </c>
      <c r="C168" t="s">
        <v>7</v>
      </c>
      <c r="D168" t="s">
        <v>15</v>
      </c>
      <c r="E168" t="s">
        <v>19</v>
      </c>
      <c r="F168" t="s">
        <v>9</v>
      </c>
      <c r="G168" t="str">
        <f t="shared" si="10"/>
        <v>Valid</v>
      </c>
      <c r="H168" t="str">
        <f t="shared" si="14"/>
        <v>Service First</v>
      </c>
      <c r="I168" t="str">
        <f t="shared" si="11"/>
        <v>Financial Adviser</v>
      </c>
      <c r="J168" t="str">
        <f t="shared" si="12"/>
        <v>Workplace Pension</v>
      </c>
      <c r="K168" t="str">
        <f t="shared" si="13"/>
        <v>Misinformation</v>
      </c>
    </row>
    <row r="169" spans="1:11" x14ac:dyDescent="0.35">
      <c r="A169">
        <v>169</v>
      </c>
      <c r="B169" t="s">
        <v>190</v>
      </c>
      <c r="C169" t="s">
        <v>15</v>
      </c>
      <c r="D169" t="s">
        <v>7</v>
      </c>
      <c r="E169" t="s">
        <v>12</v>
      </c>
      <c r="F169" t="s">
        <v>9</v>
      </c>
      <c r="G169" t="str">
        <f t="shared" si="10"/>
        <v>Valid</v>
      </c>
      <c r="H169" t="str">
        <f t="shared" si="14"/>
        <v>Workplace Pension</v>
      </c>
      <c r="I169" t="str">
        <f t="shared" si="11"/>
        <v>Servicing Agent</v>
      </c>
      <c r="J169" t="str">
        <f t="shared" si="12"/>
        <v>Service First</v>
      </c>
      <c r="K169" t="str">
        <f t="shared" si="13"/>
        <v>Misinformation</v>
      </c>
    </row>
    <row r="170" spans="1:11" x14ac:dyDescent="0.35">
      <c r="A170">
        <v>170</v>
      </c>
      <c r="B170" t="s">
        <v>191</v>
      </c>
      <c r="C170" t="s">
        <v>15</v>
      </c>
      <c r="D170" t="s">
        <v>16</v>
      </c>
      <c r="E170" t="s">
        <v>8</v>
      </c>
      <c r="F170" t="s">
        <v>9</v>
      </c>
      <c r="G170" t="str">
        <f t="shared" si="10"/>
        <v>Valid</v>
      </c>
      <c r="H170" t="str">
        <f t="shared" si="14"/>
        <v>Workplace Pension</v>
      </c>
      <c r="I170" t="str">
        <f t="shared" si="11"/>
        <v>Policy Holder</v>
      </c>
      <c r="J170" t="str">
        <f t="shared" si="12"/>
        <v>Annuity</v>
      </c>
      <c r="K170" t="str">
        <f t="shared" si="13"/>
        <v>Misinformation</v>
      </c>
    </row>
    <row r="171" spans="1:11" x14ac:dyDescent="0.35">
      <c r="A171">
        <v>171</v>
      </c>
      <c r="B171" t="s">
        <v>192</v>
      </c>
      <c r="C171" t="s">
        <v>7</v>
      </c>
      <c r="D171" t="s">
        <v>11</v>
      </c>
      <c r="E171" t="s">
        <v>8</v>
      </c>
      <c r="F171" t="s">
        <v>13</v>
      </c>
      <c r="G171" t="str">
        <f t="shared" si="10"/>
        <v>Valid</v>
      </c>
      <c r="H171" t="str">
        <f t="shared" si="14"/>
        <v>Service First</v>
      </c>
      <c r="I171" t="str">
        <f t="shared" si="11"/>
        <v>Policy Holder</v>
      </c>
      <c r="J171" t="str">
        <f t="shared" si="12"/>
        <v>Drawdown</v>
      </c>
      <c r="K171" t="str">
        <f t="shared" si="13"/>
        <v>Poor Communication</v>
      </c>
    </row>
    <row r="172" spans="1:11" x14ac:dyDescent="0.35">
      <c r="A172">
        <v>172</v>
      </c>
      <c r="B172" t="s">
        <v>193</v>
      </c>
      <c r="C172" t="s">
        <v>16</v>
      </c>
      <c r="D172" t="s">
        <v>7</v>
      </c>
      <c r="E172" t="s">
        <v>17</v>
      </c>
      <c r="F172" t="s">
        <v>13</v>
      </c>
      <c r="G172" t="str">
        <f t="shared" si="10"/>
        <v>Valid</v>
      </c>
      <c r="H172" t="str">
        <f t="shared" si="14"/>
        <v>Annuity</v>
      </c>
      <c r="I172" t="str">
        <f t="shared" si="11"/>
        <v>Lawyer</v>
      </c>
      <c r="J172" t="str">
        <f t="shared" si="12"/>
        <v>Service First</v>
      </c>
      <c r="K172" t="str">
        <f t="shared" si="13"/>
        <v>Poor Communication</v>
      </c>
    </row>
    <row r="173" spans="1:11" x14ac:dyDescent="0.35">
      <c r="A173">
        <v>173</v>
      </c>
      <c r="B173" t="s">
        <v>194</v>
      </c>
      <c r="C173" t="s">
        <v>16</v>
      </c>
      <c r="D173" t="s">
        <v>7</v>
      </c>
      <c r="E173" t="s">
        <v>23</v>
      </c>
      <c r="F173" t="s">
        <v>9</v>
      </c>
      <c r="G173" t="str">
        <f t="shared" si="10"/>
        <v>Valid</v>
      </c>
      <c r="H173" t="str">
        <f t="shared" si="14"/>
        <v>Annuity</v>
      </c>
      <c r="I173" t="str">
        <f t="shared" si="11"/>
        <v>Attorney</v>
      </c>
      <c r="J173" t="str">
        <f t="shared" si="12"/>
        <v>Service First</v>
      </c>
      <c r="K173" t="str">
        <f t="shared" si="13"/>
        <v>Misinformation</v>
      </c>
    </row>
    <row r="174" spans="1:11" x14ac:dyDescent="0.35">
      <c r="A174">
        <v>174</v>
      </c>
      <c r="B174" t="s">
        <v>195</v>
      </c>
      <c r="C174" t="s">
        <v>16</v>
      </c>
      <c r="D174" t="s">
        <v>7</v>
      </c>
      <c r="E174" t="s">
        <v>17</v>
      </c>
      <c r="F174" t="s">
        <v>13</v>
      </c>
      <c r="G174" t="str">
        <f t="shared" si="10"/>
        <v>Valid</v>
      </c>
      <c r="H174" t="str">
        <f t="shared" si="14"/>
        <v>Annuity</v>
      </c>
      <c r="I174" t="str">
        <f t="shared" si="11"/>
        <v>Lawyer</v>
      </c>
      <c r="J174" t="str">
        <f t="shared" si="12"/>
        <v>Service First</v>
      </c>
      <c r="K174" t="str">
        <f t="shared" si="13"/>
        <v>Poor Communication</v>
      </c>
    </row>
    <row r="175" spans="1:11" x14ac:dyDescent="0.35">
      <c r="A175">
        <v>175</v>
      </c>
      <c r="B175" t="s">
        <v>196</v>
      </c>
      <c r="C175" t="s">
        <v>7</v>
      </c>
      <c r="D175" t="s">
        <v>7</v>
      </c>
      <c r="E175" t="s">
        <v>12</v>
      </c>
      <c r="F175" t="s">
        <v>13</v>
      </c>
      <c r="G175" t="str">
        <f t="shared" si="10"/>
        <v>Valid</v>
      </c>
      <c r="H175" t="str">
        <f t="shared" si="14"/>
        <v>Service First</v>
      </c>
      <c r="I175" t="str">
        <f t="shared" si="11"/>
        <v>Servicing Agent</v>
      </c>
      <c r="J175" t="str">
        <f t="shared" si="12"/>
        <v>Service First</v>
      </c>
      <c r="K175" t="str">
        <f t="shared" si="13"/>
        <v>Poor Communication</v>
      </c>
    </row>
    <row r="176" spans="1:11" x14ac:dyDescent="0.35">
      <c r="A176">
        <v>176</v>
      </c>
      <c r="B176" t="s">
        <v>197</v>
      </c>
      <c r="C176" t="s">
        <v>15</v>
      </c>
      <c r="D176" t="s">
        <v>7</v>
      </c>
      <c r="E176" t="s">
        <v>12</v>
      </c>
      <c r="F176" t="s">
        <v>9</v>
      </c>
      <c r="G176" t="str">
        <f t="shared" si="10"/>
        <v>Valid</v>
      </c>
      <c r="H176" t="str">
        <f t="shared" si="14"/>
        <v>Workplace Pension</v>
      </c>
      <c r="I176" t="str">
        <f t="shared" si="11"/>
        <v>Servicing Agent</v>
      </c>
      <c r="J176" t="str">
        <f t="shared" si="12"/>
        <v>Service First</v>
      </c>
      <c r="K176" t="str">
        <f t="shared" si="13"/>
        <v>Misinformation</v>
      </c>
    </row>
    <row r="177" spans="1:11" x14ac:dyDescent="0.35">
      <c r="A177">
        <v>177</v>
      </c>
      <c r="B177" t="s">
        <v>198</v>
      </c>
      <c r="C177" t="s">
        <v>7</v>
      </c>
      <c r="D177" t="s">
        <v>11</v>
      </c>
      <c r="E177" t="s">
        <v>23</v>
      </c>
      <c r="F177" t="s">
        <v>13</v>
      </c>
      <c r="G177" t="str">
        <f t="shared" si="10"/>
        <v>Valid</v>
      </c>
      <c r="H177" t="str">
        <f t="shared" si="14"/>
        <v>Service First</v>
      </c>
      <c r="I177" t="str">
        <f t="shared" si="11"/>
        <v>Attorney</v>
      </c>
      <c r="J177" t="str">
        <f t="shared" si="12"/>
        <v>Drawdown</v>
      </c>
      <c r="K177" t="str">
        <f t="shared" si="13"/>
        <v>Poor Communication</v>
      </c>
    </row>
    <row r="178" spans="1:11" x14ac:dyDescent="0.35">
      <c r="A178">
        <v>178</v>
      </c>
      <c r="B178" t="s">
        <v>199</v>
      </c>
      <c r="C178" t="s">
        <v>16</v>
      </c>
      <c r="D178" t="s">
        <v>15</v>
      </c>
      <c r="E178" t="s">
        <v>8</v>
      </c>
      <c r="F178" t="s">
        <v>13</v>
      </c>
      <c r="G178" t="str">
        <f t="shared" si="10"/>
        <v>Valid</v>
      </c>
      <c r="H178" t="str">
        <f t="shared" si="14"/>
        <v>Annuity</v>
      </c>
      <c r="I178" t="str">
        <f t="shared" si="11"/>
        <v>Policy Holder</v>
      </c>
      <c r="J178" t="str">
        <f t="shared" si="12"/>
        <v>Workplace Pension</v>
      </c>
      <c r="K178" t="str">
        <f t="shared" si="13"/>
        <v>Poor Communication</v>
      </c>
    </row>
    <row r="179" spans="1:11" x14ac:dyDescent="0.35">
      <c r="A179">
        <v>179</v>
      </c>
      <c r="B179" t="s">
        <v>200</v>
      </c>
      <c r="C179" t="s">
        <v>16</v>
      </c>
      <c r="D179" t="s">
        <v>16</v>
      </c>
      <c r="E179" t="s">
        <v>12</v>
      </c>
      <c r="F179" t="s">
        <v>9</v>
      </c>
      <c r="G179" t="str">
        <f t="shared" si="10"/>
        <v>Valid</v>
      </c>
      <c r="H179" t="str">
        <f t="shared" si="14"/>
        <v>Annuity</v>
      </c>
      <c r="I179" t="str">
        <f t="shared" si="11"/>
        <v>Servicing Agent</v>
      </c>
      <c r="J179" t="str">
        <f t="shared" si="12"/>
        <v>Annuity</v>
      </c>
      <c r="K179" t="str">
        <f t="shared" si="13"/>
        <v>Misinformation</v>
      </c>
    </row>
    <row r="180" spans="1:11" x14ac:dyDescent="0.35">
      <c r="A180">
        <v>180</v>
      </c>
      <c r="B180" t="s">
        <v>201</v>
      </c>
      <c r="C180" t="s">
        <v>15</v>
      </c>
      <c r="D180" t="s">
        <v>15</v>
      </c>
      <c r="E180" t="s">
        <v>17</v>
      </c>
      <c r="F180" t="s">
        <v>9</v>
      </c>
      <c r="G180" t="str">
        <f t="shared" si="10"/>
        <v>Valid</v>
      </c>
      <c r="H180" t="str">
        <f t="shared" si="14"/>
        <v>Workplace Pension</v>
      </c>
      <c r="I180" t="str">
        <f t="shared" si="11"/>
        <v>Lawyer</v>
      </c>
      <c r="J180" t="str">
        <f t="shared" si="12"/>
        <v>Workplace Pension</v>
      </c>
      <c r="K180" t="str">
        <f t="shared" si="13"/>
        <v>Misinformation</v>
      </c>
    </row>
    <row r="181" spans="1:11" x14ac:dyDescent="0.35">
      <c r="A181">
        <v>181</v>
      </c>
      <c r="B181" t="s">
        <v>202</v>
      </c>
      <c r="C181" t="s">
        <v>15</v>
      </c>
      <c r="D181" t="s">
        <v>11</v>
      </c>
      <c r="E181" t="s">
        <v>23</v>
      </c>
      <c r="F181" t="s">
        <v>9</v>
      </c>
      <c r="G181" t="str">
        <f t="shared" si="10"/>
        <v>Valid</v>
      </c>
      <c r="H181" t="str">
        <f t="shared" si="14"/>
        <v>Workplace Pension</v>
      </c>
      <c r="I181" t="str">
        <f t="shared" si="11"/>
        <v>Attorney</v>
      </c>
      <c r="J181" t="str">
        <f t="shared" si="12"/>
        <v>Drawdown</v>
      </c>
      <c r="K181" t="str">
        <f t="shared" si="13"/>
        <v>Misinformation</v>
      </c>
    </row>
    <row r="182" spans="1:11" x14ac:dyDescent="0.35">
      <c r="A182">
        <v>182</v>
      </c>
      <c r="B182" t="s">
        <v>203</v>
      </c>
      <c r="C182" t="s">
        <v>11</v>
      </c>
      <c r="D182" t="s">
        <v>16</v>
      </c>
      <c r="E182" t="s">
        <v>19</v>
      </c>
      <c r="F182" t="s">
        <v>9</v>
      </c>
      <c r="G182" t="str">
        <f t="shared" si="10"/>
        <v>Valid</v>
      </c>
      <c r="H182" t="str">
        <f t="shared" si="14"/>
        <v>Drawdown</v>
      </c>
      <c r="I182" t="str">
        <f t="shared" si="11"/>
        <v>Financial Adviser</v>
      </c>
      <c r="J182" t="str">
        <f t="shared" si="12"/>
        <v>Annuity</v>
      </c>
      <c r="K182" t="str">
        <f t="shared" si="13"/>
        <v>Misinformation</v>
      </c>
    </row>
    <row r="183" spans="1:11" x14ac:dyDescent="0.35">
      <c r="A183">
        <v>183</v>
      </c>
      <c r="B183" t="s">
        <v>204</v>
      </c>
      <c r="C183" t="s">
        <v>16</v>
      </c>
      <c r="D183" t="s">
        <v>7</v>
      </c>
      <c r="E183" t="s">
        <v>12</v>
      </c>
      <c r="F183" t="s">
        <v>13</v>
      </c>
      <c r="G183" t="str">
        <f t="shared" si="10"/>
        <v>Valid</v>
      </c>
      <c r="H183" t="str">
        <f t="shared" si="14"/>
        <v>Annuity</v>
      </c>
      <c r="I183" t="str">
        <f t="shared" si="11"/>
        <v>Servicing Agent</v>
      </c>
      <c r="J183" t="str">
        <f t="shared" si="12"/>
        <v>Service First</v>
      </c>
      <c r="K183" t="str">
        <f t="shared" si="13"/>
        <v>Poor Communication</v>
      </c>
    </row>
    <row r="184" spans="1:11" x14ac:dyDescent="0.35">
      <c r="A184">
        <v>184</v>
      </c>
      <c r="B184" t="s">
        <v>205</v>
      </c>
      <c r="C184" t="s">
        <v>15</v>
      </c>
      <c r="D184" t="s">
        <v>7</v>
      </c>
      <c r="E184" t="s">
        <v>12</v>
      </c>
      <c r="F184" t="s">
        <v>13</v>
      </c>
      <c r="G184" t="str">
        <f t="shared" si="10"/>
        <v>Valid</v>
      </c>
      <c r="H184" t="str">
        <f t="shared" si="14"/>
        <v>Workplace Pension</v>
      </c>
      <c r="I184" t="str">
        <f t="shared" si="11"/>
        <v>Servicing Agent</v>
      </c>
      <c r="J184" t="str">
        <f t="shared" si="12"/>
        <v>Service First</v>
      </c>
      <c r="K184" t="str">
        <f t="shared" si="13"/>
        <v>Poor Communication</v>
      </c>
    </row>
    <row r="185" spans="1:11" x14ac:dyDescent="0.35">
      <c r="A185">
        <v>185</v>
      </c>
      <c r="B185" t="s">
        <v>206</v>
      </c>
      <c r="C185" t="s">
        <v>11</v>
      </c>
      <c r="D185" t="s">
        <v>7</v>
      </c>
      <c r="E185" t="s">
        <v>12</v>
      </c>
      <c r="F185" t="s">
        <v>9</v>
      </c>
      <c r="G185" t="str">
        <f t="shared" si="10"/>
        <v>Valid</v>
      </c>
      <c r="H185" t="str">
        <f t="shared" si="14"/>
        <v>Drawdown</v>
      </c>
      <c r="I185" t="str">
        <f t="shared" si="11"/>
        <v>Servicing Agent</v>
      </c>
      <c r="J185" t="str">
        <f t="shared" si="12"/>
        <v>Service First</v>
      </c>
      <c r="K185" t="str">
        <f t="shared" si="13"/>
        <v>Misinformation</v>
      </c>
    </row>
    <row r="186" spans="1:11" x14ac:dyDescent="0.35">
      <c r="A186">
        <v>186</v>
      </c>
      <c r="B186" t="s">
        <v>207</v>
      </c>
      <c r="C186" t="s">
        <v>15</v>
      </c>
      <c r="D186" t="s">
        <v>7</v>
      </c>
      <c r="E186" t="s">
        <v>12</v>
      </c>
      <c r="F186" t="s">
        <v>9</v>
      </c>
      <c r="G186" t="str">
        <f t="shared" si="10"/>
        <v>Valid</v>
      </c>
      <c r="H186" t="str">
        <f t="shared" si="14"/>
        <v>Workplace Pension</v>
      </c>
      <c r="I186" t="str">
        <f t="shared" si="11"/>
        <v>Servicing Agent</v>
      </c>
      <c r="J186" t="str">
        <f t="shared" si="12"/>
        <v>Service First</v>
      </c>
      <c r="K186" t="str">
        <f t="shared" si="13"/>
        <v>Misinformation</v>
      </c>
    </row>
    <row r="187" spans="1:11" x14ac:dyDescent="0.35">
      <c r="A187">
        <v>187</v>
      </c>
      <c r="B187" t="s">
        <v>208</v>
      </c>
      <c r="C187" t="s">
        <v>16</v>
      </c>
      <c r="D187" t="s">
        <v>16</v>
      </c>
      <c r="E187" t="s">
        <v>17</v>
      </c>
      <c r="F187" t="s">
        <v>13</v>
      </c>
      <c r="G187" t="str">
        <f t="shared" si="10"/>
        <v>Valid</v>
      </c>
      <c r="H187" t="str">
        <f t="shared" si="14"/>
        <v>Annuity</v>
      </c>
      <c r="I187" t="str">
        <f t="shared" si="11"/>
        <v>Lawyer</v>
      </c>
      <c r="J187" t="str">
        <f t="shared" si="12"/>
        <v>Annuity</v>
      </c>
      <c r="K187" t="str">
        <f t="shared" si="13"/>
        <v>Poor Communication</v>
      </c>
    </row>
    <row r="188" spans="1:11" x14ac:dyDescent="0.35">
      <c r="A188">
        <v>188</v>
      </c>
      <c r="B188" t="s">
        <v>209</v>
      </c>
      <c r="C188" t="s">
        <v>11</v>
      </c>
      <c r="D188" t="s">
        <v>11</v>
      </c>
      <c r="E188" t="s">
        <v>17</v>
      </c>
      <c r="F188" t="s">
        <v>13</v>
      </c>
      <c r="G188" t="str">
        <f t="shared" si="10"/>
        <v>Valid</v>
      </c>
      <c r="H188" t="str">
        <f t="shared" si="14"/>
        <v>Drawdown</v>
      </c>
      <c r="I188" t="str">
        <f t="shared" si="11"/>
        <v>Lawyer</v>
      </c>
      <c r="J188" t="str">
        <f t="shared" si="12"/>
        <v>Drawdown</v>
      </c>
      <c r="K188" t="str">
        <f t="shared" si="13"/>
        <v>Poor Communication</v>
      </c>
    </row>
    <row r="189" spans="1:11" x14ac:dyDescent="0.35">
      <c r="A189">
        <v>189</v>
      </c>
      <c r="B189" t="s">
        <v>210</v>
      </c>
      <c r="C189" t="s">
        <v>16</v>
      </c>
      <c r="D189" t="s">
        <v>11</v>
      </c>
      <c r="E189" t="s">
        <v>12</v>
      </c>
      <c r="F189" t="s">
        <v>13</v>
      </c>
      <c r="G189" t="str">
        <f t="shared" si="10"/>
        <v>Valid</v>
      </c>
      <c r="H189" t="str">
        <f t="shared" si="14"/>
        <v>Annuity</v>
      </c>
      <c r="I189" t="str">
        <f t="shared" si="11"/>
        <v>Servicing Agent</v>
      </c>
      <c r="J189" t="str">
        <f t="shared" si="12"/>
        <v>Drawdown</v>
      </c>
      <c r="K189" t="str">
        <f t="shared" si="13"/>
        <v>Poor Communication</v>
      </c>
    </row>
    <row r="190" spans="1:11" x14ac:dyDescent="0.35">
      <c r="A190">
        <v>190</v>
      </c>
      <c r="B190" t="s">
        <v>211</v>
      </c>
      <c r="C190" t="s">
        <v>15</v>
      </c>
      <c r="D190" t="s">
        <v>16</v>
      </c>
      <c r="E190" t="s">
        <v>8</v>
      </c>
      <c r="F190" t="s">
        <v>9</v>
      </c>
      <c r="G190" t="str">
        <f t="shared" si="10"/>
        <v>Valid</v>
      </c>
      <c r="H190" t="str">
        <f t="shared" si="14"/>
        <v>Workplace Pension</v>
      </c>
      <c r="I190" t="str">
        <f t="shared" si="11"/>
        <v>Policy Holder</v>
      </c>
      <c r="J190" t="str">
        <f t="shared" si="12"/>
        <v>Annuity</v>
      </c>
      <c r="K190" t="str">
        <f t="shared" si="13"/>
        <v>Misinformation</v>
      </c>
    </row>
    <row r="191" spans="1:11" x14ac:dyDescent="0.35">
      <c r="A191">
        <v>191</v>
      </c>
      <c r="B191" t="s">
        <v>212</v>
      </c>
      <c r="C191" t="s">
        <v>16</v>
      </c>
      <c r="D191" t="s">
        <v>16</v>
      </c>
      <c r="E191" t="s">
        <v>12</v>
      </c>
      <c r="F191" t="s">
        <v>24</v>
      </c>
      <c r="G191" t="str">
        <f t="shared" si="10"/>
        <v>Valid</v>
      </c>
      <c r="H191" t="str">
        <f t="shared" si="14"/>
        <v>Annuity</v>
      </c>
      <c r="I191" t="str">
        <f t="shared" si="11"/>
        <v>Servicing Agent</v>
      </c>
      <c r="J191" t="str">
        <f t="shared" si="12"/>
        <v>Annuity</v>
      </c>
      <c r="K191" t="str">
        <f t="shared" si="13"/>
        <v>Delayed Response</v>
      </c>
    </row>
    <row r="192" spans="1:11" x14ac:dyDescent="0.35">
      <c r="A192">
        <v>192</v>
      </c>
      <c r="B192" t="s">
        <v>213</v>
      </c>
      <c r="C192" t="s">
        <v>11</v>
      </c>
      <c r="D192" t="s">
        <v>16</v>
      </c>
      <c r="E192" t="s">
        <v>8</v>
      </c>
      <c r="F192" t="s">
        <v>9</v>
      </c>
      <c r="G192" t="str">
        <f t="shared" si="10"/>
        <v>Valid</v>
      </c>
      <c r="H192" t="str">
        <f t="shared" si="14"/>
        <v>Drawdown</v>
      </c>
      <c r="I192" t="str">
        <f t="shared" si="11"/>
        <v>Policy Holder</v>
      </c>
      <c r="J192" t="str">
        <f t="shared" si="12"/>
        <v>Annuity</v>
      </c>
      <c r="K192" t="str">
        <f t="shared" si="13"/>
        <v>Misinformation</v>
      </c>
    </row>
    <row r="193" spans="1:11" x14ac:dyDescent="0.35">
      <c r="A193">
        <v>193</v>
      </c>
      <c r="B193" t="s">
        <v>214</v>
      </c>
      <c r="C193" t="s">
        <v>7</v>
      </c>
      <c r="D193" t="s">
        <v>7</v>
      </c>
      <c r="E193" t="s">
        <v>23</v>
      </c>
      <c r="F193" t="s">
        <v>9</v>
      </c>
      <c r="G193" t="str">
        <f t="shared" ref="G193:G250" si="15">IF(AND(LEN(B193)=8, ISNUMBER(VALUE(RIGHT(B193,6)))), "Valid", "Invalid")</f>
        <v>Valid</v>
      </c>
      <c r="H193" t="str">
        <f t="shared" si="14"/>
        <v>Service First</v>
      </c>
      <c r="I193" t="str">
        <f t="shared" si="11"/>
        <v>Attorney</v>
      </c>
      <c r="J193" t="str">
        <f t="shared" si="12"/>
        <v>Service First</v>
      </c>
      <c r="K193" t="str">
        <f t="shared" si="13"/>
        <v>Misinformation</v>
      </c>
    </row>
    <row r="194" spans="1:11" x14ac:dyDescent="0.35">
      <c r="A194">
        <v>194</v>
      </c>
      <c r="B194" t="s">
        <v>215</v>
      </c>
      <c r="C194" t="s">
        <v>11</v>
      </c>
      <c r="D194" t="s">
        <v>15</v>
      </c>
      <c r="E194" t="s">
        <v>12</v>
      </c>
      <c r="F194" t="s">
        <v>13</v>
      </c>
      <c r="G194" t="str">
        <f t="shared" si="15"/>
        <v>Valid</v>
      </c>
      <c r="H194" t="str">
        <f t="shared" si="14"/>
        <v>Drawdown</v>
      </c>
      <c r="I194" t="str">
        <f t="shared" ref="I194:I250" si="16">IF(E194="PolicyHolder","Policy Holder",PROPER(TRIM(E194)))</f>
        <v>Servicing Agent</v>
      </c>
      <c r="J194" t="str">
        <f t="shared" ref="J194:J250" si="17">IF(D194="", "Unknown", D194)</f>
        <v>Workplace Pension</v>
      </c>
      <c r="K194" t="str">
        <f t="shared" ref="K194:K250" si="18">IF(F194="Poor Comm","Poor Communication",PROPER(TRIM(F194)))</f>
        <v>Poor Communication</v>
      </c>
    </row>
    <row r="195" spans="1:11" x14ac:dyDescent="0.35">
      <c r="A195">
        <v>195</v>
      </c>
      <c r="B195" t="s">
        <v>216</v>
      </c>
      <c r="C195" t="s">
        <v>15</v>
      </c>
      <c r="D195" t="s">
        <v>11</v>
      </c>
      <c r="E195" t="s">
        <v>17</v>
      </c>
      <c r="F195" t="s">
        <v>13</v>
      </c>
      <c r="G195" t="str">
        <f t="shared" si="15"/>
        <v>Valid</v>
      </c>
      <c r="H195" t="str">
        <f t="shared" ref="H195:H250" si="19">PROPER(TRIM(C195))</f>
        <v>Workplace Pension</v>
      </c>
      <c r="I195" t="str">
        <f t="shared" si="16"/>
        <v>Lawyer</v>
      </c>
      <c r="J195" t="str">
        <f t="shared" si="17"/>
        <v>Drawdown</v>
      </c>
      <c r="K195" t="str">
        <f t="shared" si="18"/>
        <v>Poor Communication</v>
      </c>
    </row>
    <row r="196" spans="1:11" x14ac:dyDescent="0.35">
      <c r="A196">
        <v>196</v>
      </c>
      <c r="B196" t="s">
        <v>217</v>
      </c>
      <c r="C196" t="s">
        <v>16</v>
      </c>
      <c r="D196" t="s">
        <v>11</v>
      </c>
      <c r="E196" t="s">
        <v>8</v>
      </c>
      <c r="F196" t="s">
        <v>9</v>
      </c>
      <c r="G196" t="str">
        <f t="shared" si="15"/>
        <v>Valid</v>
      </c>
      <c r="H196" t="str">
        <f t="shared" si="19"/>
        <v>Annuity</v>
      </c>
      <c r="I196" t="str">
        <f t="shared" si="16"/>
        <v>Policy Holder</v>
      </c>
      <c r="J196" t="str">
        <f t="shared" si="17"/>
        <v>Drawdown</v>
      </c>
      <c r="K196" t="str">
        <f t="shared" si="18"/>
        <v>Misinformation</v>
      </c>
    </row>
    <row r="197" spans="1:11" x14ac:dyDescent="0.35">
      <c r="A197">
        <v>197</v>
      </c>
      <c r="B197" t="s">
        <v>218</v>
      </c>
      <c r="C197" t="s">
        <v>15</v>
      </c>
      <c r="D197" t="s">
        <v>11</v>
      </c>
      <c r="E197" t="s">
        <v>17</v>
      </c>
      <c r="F197" t="s">
        <v>24</v>
      </c>
      <c r="G197" t="str">
        <f t="shared" si="15"/>
        <v>Valid</v>
      </c>
      <c r="H197" t="str">
        <f t="shared" si="19"/>
        <v>Workplace Pension</v>
      </c>
      <c r="I197" t="str">
        <f t="shared" si="16"/>
        <v>Lawyer</v>
      </c>
      <c r="J197" t="str">
        <f t="shared" si="17"/>
        <v>Drawdown</v>
      </c>
      <c r="K197" t="str">
        <f t="shared" si="18"/>
        <v>Delayed Response</v>
      </c>
    </row>
    <row r="198" spans="1:11" x14ac:dyDescent="0.35">
      <c r="A198">
        <v>198</v>
      </c>
      <c r="B198" t="s">
        <v>219</v>
      </c>
      <c r="C198" t="s">
        <v>16</v>
      </c>
      <c r="D198" t="s">
        <v>16</v>
      </c>
      <c r="E198" t="s">
        <v>23</v>
      </c>
      <c r="F198" t="s">
        <v>13</v>
      </c>
      <c r="G198" t="str">
        <f t="shared" si="15"/>
        <v>Valid</v>
      </c>
      <c r="H198" t="str">
        <f t="shared" si="19"/>
        <v>Annuity</v>
      </c>
      <c r="I198" t="str">
        <f t="shared" si="16"/>
        <v>Attorney</v>
      </c>
      <c r="J198" t="str">
        <f t="shared" si="17"/>
        <v>Annuity</v>
      </c>
      <c r="K198" t="str">
        <f t="shared" si="18"/>
        <v>Poor Communication</v>
      </c>
    </row>
    <row r="199" spans="1:11" x14ac:dyDescent="0.35">
      <c r="A199">
        <v>199</v>
      </c>
      <c r="B199" t="s">
        <v>220</v>
      </c>
      <c r="C199" t="s">
        <v>16</v>
      </c>
      <c r="D199" t="s">
        <v>16</v>
      </c>
      <c r="E199" t="s">
        <v>23</v>
      </c>
      <c r="F199" t="s">
        <v>24</v>
      </c>
      <c r="G199" t="str">
        <f t="shared" si="15"/>
        <v>Valid</v>
      </c>
      <c r="H199" t="str">
        <f t="shared" si="19"/>
        <v>Annuity</v>
      </c>
      <c r="I199" t="str">
        <f t="shared" si="16"/>
        <v>Attorney</v>
      </c>
      <c r="J199" t="str">
        <f t="shared" si="17"/>
        <v>Annuity</v>
      </c>
      <c r="K199" t="str">
        <f t="shared" si="18"/>
        <v>Delayed Response</v>
      </c>
    </row>
    <row r="200" spans="1:11" x14ac:dyDescent="0.35">
      <c r="A200">
        <v>200</v>
      </c>
      <c r="B200" t="s">
        <v>221</v>
      </c>
      <c r="C200" t="s">
        <v>7</v>
      </c>
      <c r="D200" t="s">
        <v>16</v>
      </c>
      <c r="E200" t="s">
        <v>17</v>
      </c>
      <c r="F200" t="s">
        <v>24</v>
      </c>
      <c r="G200" t="str">
        <f t="shared" si="15"/>
        <v>Valid</v>
      </c>
      <c r="H200" t="str">
        <f t="shared" si="19"/>
        <v>Service First</v>
      </c>
      <c r="I200" t="str">
        <f t="shared" si="16"/>
        <v>Lawyer</v>
      </c>
      <c r="J200" t="str">
        <f t="shared" si="17"/>
        <v>Annuity</v>
      </c>
      <c r="K200" t="str">
        <f t="shared" si="18"/>
        <v>Delayed Response</v>
      </c>
    </row>
    <row r="201" spans="1:11" x14ac:dyDescent="0.35">
      <c r="A201">
        <v>201</v>
      </c>
      <c r="B201" t="s">
        <v>222</v>
      </c>
      <c r="C201" t="s">
        <v>16</v>
      </c>
      <c r="D201" t="s">
        <v>15</v>
      </c>
      <c r="E201" t="s">
        <v>17</v>
      </c>
      <c r="F201" t="s">
        <v>13</v>
      </c>
      <c r="G201" t="str">
        <f t="shared" si="15"/>
        <v>Valid</v>
      </c>
      <c r="H201" t="str">
        <f t="shared" si="19"/>
        <v>Annuity</v>
      </c>
      <c r="I201" t="str">
        <f t="shared" si="16"/>
        <v>Lawyer</v>
      </c>
      <c r="J201" t="str">
        <f t="shared" si="17"/>
        <v>Workplace Pension</v>
      </c>
      <c r="K201" t="str">
        <f t="shared" si="18"/>
        <v>Poor Communication</v>
      </c>
    </row>
    <row r="202" spans="1:11" x14ac:dyDescent="0.35">
      <c r="A202">
        <v>202</v>
      </c>
      <c r="B202" t="s">
        <v>223</v>
      </c>
      <c r="C202" t="s">
        <v>11</v>
      </c>
      <c r="D202" t="s">
        <v>16</v>
      </c>
      <c r="E202" t="s">
        <v>19</v>
      </c>
      <c r="F202" t="s">
        <v>13</v>
      </c>
      <c r="G202" t="str">
        <f t="shared" si="15"/>
        <v>Valid</v>
      </c>
      <c r="H202" t="str">
        <f t="shared" si="19"/>
        <v>Drawdown</v>
      </c>
      <c r="I202" t="str">
        <f t="shared" si="16"/>
        <v>Financial Adviser</v>
      </c>
      <c r="J202" t="str">
        <f t="shared" si="17"/>
        <v>Annuity</v>
      </c>
      <c r="K202" t="str">
        <f t="shared" si="18"/>
        <v>Poor Communication</v>
      </c>
    </row>
    <row r="203" spans="1:11" x14ac:dyDescent="0.35">
      <c r="A203">
        <v>203</v>
      </c>
      <c r="B203" t="s">
        <v>224</v>
      </c>
      <c r="C203" t="s">
        <v>15</v>
      </c>
      <c r="D203" t="s">
        <v>11</v>
      </c>
      <c r="E203" t="s">
        <v>17</v>
      </c>
      <c r="F203" t="s">
        <v>13</v>
      </c>
      <c r="G203" t="str">
        <f t="shared" si="15"/>
        <v>Valid</v>
      </c>
      <c r="H203" t="str">
        <f t="shared" si="19"/>
        <v>Workplace Pension</v>
      </c>
      <c r="I203" t="str">
        <f t="shared" si="16"/>
        <v>Lawyer</v>
      </c>
      <c r="J203" t="str">
        <f t="shared" si="17"/>
        <v>Drawdown</v>
      </c>
      <c r="K203" t="str">
        <f t="shared" si="18"/>
        <v>Poor Communication</v>
      </c>
    </row>
    <row r="204" spans="1:11" x14ac:dyDescent="0.35">
      <c r="A204">
        <v>204</v>
      </c>
      <c r="B204" t="s">
        <v>225</v>
      </c>
      <c r="C204" t="s">
        <v>16</v>
      </c>
      <c r="D204" t="s">
        <v>11</v>
      </c>
      <c r="E204" t="s">
        <v>17</v>
      </c>
      <c r="F204" t="s">
        <v>13</v>
      </c>
      <c r="G204" t="str">
        <f t="shared" si="15"/>
        <v>Valid</v>
      </c>
      <c r="H204" t="str">
        <f t="shared" si="19"/>
        <v>Annuity</v>
      </c>
      <c r="I204" t="str">
        <f t="shared" si="16"/>
        <v>Lawyer</v>
      </c>
      <c r="J204" t="str">
        <f t="shared" si="17"/>
        <v>Drawdown</v>
      </c>
      <c r="K204" t="str">
        <f t="shared" si="18"/>
        <v>Poor Communication</v>
      </c>
    </row>
    <row r="205" spans="1:11" x14ac:dyDescent="0.35">
      <c r="A205">
        <v>205</v>
      </c>
      <c r="B205" t="s">
        <v>226</v>
      </c>
      <c r="C205" t="s">
        <v>7</v>
      </c>
      <c r="D205" t="s">
        <v>16</v>
      </c>
      <c r="E205" t="s">
        <v>17</v>
      </c>
      <c r="F205" t="s">
        <v>9</v>
      </c>
      <c r="G205" t="str">
        <f t="shared" si="15"/>
        <v>Valid</v>
      </c>
      <c r="H205" t="str">
        <f t="shared" si="19"/>
        <v>Service First</v>
      </c>
      <c r="I205" t="str">
        <f t="shared" si="16"/>
        <v>Lawyer</v>
      </c>
      <c r="J205" t="str">
        <f t="shared" si="17"/>
        <v>Annuity</v>
      </c>
      <c r="K205" t="str">
        <f t="shared" si="18"/>
        <v>Misinformation</v>
      </c>
    </row>
    <row r="206" spans="1:11" x14ac:dyDescent="0.35">
      <c r="A206">
        <v>206</v>
      </c>
      <c r="B206" t="s">
        <v>227</v>
      </c>
      <c r="C206" t="s">
        <v>15</v>
      </c>
      <c r="D206" t="s">
        <v>11</v>
      </c>
      <c r="E206" t="s">
        <v>23</v>
      </c>
      <c r="F206" t="s">
        <v>13</v>
      </c>
      <c r="G206" t="str">
        <f t="shared" si="15"/>
        <v>Valid</v>
      </c>
      <c r="H206" t="str">
        <f t="shared" si="19"/>
        <v>Workplace Pension</v>
      </c>
      <c r="I206" t="str">
        <f t="shared" si="16"/>
        <v>Attorney</v>
      </c>
      <c r="J206" t="str">
        <f t="shared" si="17"/>
        <v>Drawdown</v>
      </c>
      <c r="K206" t="str">
        <f t="shared" si="18"/>
        <v>Poor Communication</v>
      </c>
    </row>
    <row r="207" spans="1:11" x14ac:dyDescent="0.35">
      <c r="A207">
        <v>207</v>
      </c>
      <c r="B207" t="s">
        <v>228</v>
      </c>
      <c r="C207" t="s">
        <v>11</v>
      </c>
      <c r="D207" t="s">
        <v>15</v>
      </c>
      <c r="E207" t="s">
        <v>19</v>
      </c>
      <c r="F207" t="s">
        <v>9</v>
      </c>
      <c r="G207" t="str">
        <f t="shared" si="15"/>
        <v>Valid</v>
      </c>
      <c r="H207" t="str">
        <f t="shared" si="19"/>
        <v>Drawdown</v>
      </c>
      <c r="I207" t="str">
        <f t="shared" si="16"/>
        <v>Financial Adviser</v>
      </c>
      <c r="J207" t="str">
        <f t="shared" si="17"/>
        <v>Workplace Pension</v>
      </c>
      <c r="K207" t="str">
        <f t="shared" si="18"/>
        <v>Misinformation</v>
      </c>
    </row>
    <row r="208" spans="1:11" x14ac:dyDescent="0.35">
      <c r="A208">
        <v>208</v>
      </c>
      <c r="B208" t="s">
        <v>229</v>
      </c>
      <c r="C208" t="s">
        <v>16</v>
      </c>
      <c r="D208" t="s">
        <v>7</v>
      </c>
      <c r="E208" t="s">
        <v>17</v>
      </c>
      <c r="F208" t="s">
        <v>13</v>
      </c>
      <c r="G208" t="str">
        <f t="shared" si="15"/>
        <v>Valid</v>
      </c>
      <c r="H208" t="str">
        <f t="shared" si="19"/>
        <v>Annuity</v>
      </c>
      <c r="I208" t="str">
        <f t="shared" si="16"/>
        <v>Lawyer</v>
      </c>
      <c r="J208" t="str">
        <f t="shared" si="17"/>
        <v>Service First</v>
      </c>
      <c r="K208" t="str">
        <f t="shared" si="18"/>
        <v>Poor Communication</v>
      </c>
    </row>
    <row r="209" spans="1:11" x14ac:dyDescent="0.35">
      <c r="A209">
        <v>209</v>
      </c>
      <c r="B209" t="s">
        <v>230</v>
      </c>
      <c r="C209" t="s">
        <v>11</v>
      </c>
      <c r="D209" t="s">
        <v>16</v>
      </c>
      <c r="E209" t="s">
        <v>12</v>
      </c>
      <c r="F209" t="s">
        <v>9</v>
      </c>
      <c r="G209" t="str">
        <f t="shared" si="15"/>
        <v>Valid</v>
      </c>
      <c r="H209" t="str">
        <f t="shared" si="19"/>
        <v>Drawdown</v>
      </c>
      <c r="I209" t="str">
        <f t="shared" si="16"/>
        <v>Servicing Agent</v>
      </c>
      <c r="J209" t="str">
        <f t="shared" si="17"/>
        <v>Annuity</v>
      </c>
      <c r="K209" t="str">
        <f t="shared" si="18"/>
        <v>Misinformation</v>
      </c>
    </row>
    <row r="210" spans="1:11" x14ac:dyDescent="0.35">
      <c r="A210">
        <v>210</v>
      </c>
      <c r="B210" t="s">
        <v>231</v>
      </c>
      <c r="C210" t="s">
        <v>16</v>
      </c>
      <c r="D210" t="s">
        <v>16</v>
      </c>
      <c r="E210" t="s">
        <v>8</v>
      </c>
      <c r="F210" t="s">
        <v>24</v>
      </c>
      <c r="G210" t="str">
        <f t="shared" si="15"/>
        <v>Valid</v>
      </c>
      <c r="H210" t="str">
        <f t="shared" si="19"/>
        <v>Annuity</v>
      </c>
      <c r="I210" t="str">
        <f t="shared" si="16"/>
        <v>Policy Holder</v>
      </c>
      <c r="J210" t="str">
        <f t="shared" si="17"/>
        <v>Annuity</v>
      </c>
      <c r="K210" t="str">
        <f t="shared" si="18"/>
        <v>Delayed Response</v>
      </c>
    </row>
    <row r="211" spans="1:11" x14ac:dyDescent="0.35">
      <c r="A211">
        <v>211</v>
      </c>
      <c r="B211" t="s">
        <v>232</v>
      </c>
      <c r="C211" t="s">
        <v>15</v>
      </c>
      <c r="D211" t="s">
        <v>11</v>
      </c>
      <c r="E211" t="s">
        <v>23</v>
      </c>
      <c r="F211" t="s">
        <v>13</v>
      </c>
      <c r="G211" t="str">
        <f t="shared" si="15"/>
        <v>Valid</v>
      </c>
      <c r="H211" t="str">
        <f t="shared" si="19"/>
        <v>Workplace Pension</v>
      </c>
      <c r="I211" t="str">
        <f t="shared" si="16"/>
        <v>Attorney</v>
      </c>
      <c r="J211" t="str">
        <f t="shared" si="17"/>
        <v>Drawdown</v>
      </c>
      <c r="K211" t="str">
        <f t="shared" si="18"/>
        <v>Poor Communication</v>
      </c>
    </row>
    <row r="212" spans="1:11" x14ac:dyDescent="0.35">
      <c r="A212">
        <v>212</v>
      </c>
      <c r="B212" t="s">
        <v>233</v>
      </c>
      <c r="C212" t="s">
        <v>7</v>
      </c>
      <c r="D212" t="s">
        <v>16</v>
      </c>
      <c r="E212" t="s">
        <v>19</v>
      </c>
      <c r="F212" t="s">
        <v>9</v>
      </c>
      <c r="G212" t="str">
        <f t="shared" si="15"/>
        <v>Valid</v>
      </c>
      <c r="H212" t="str">
        <f t="shared" si="19"/>
        <v>Service First</v>
      </c>
      <c r="I212" t="str">
        <f t="shared" si="16"/>
        <v>Financial Adviser</v>
      </c>
      <c r="J212" t="str">
        <f t="shared" si="17"/>
        <v>Annuity</v>
      </c>
      <c r="K212" t="str">
        <f t="shared" si="18"/>
        <v>Misinformation</v>
      </c>
    </row>
    <row r="213" spans="1:11" x14ac:dyDescent="0.35">
      <c r="A213">
        <v>213</v>
      </c>
      <c r="B213" t="s">
        <v>234</v>
      </c>
      <c r="C213" t="s">
        <v>16</v>
      </c>
      <c r="D213" t="s">
        <v>16</v>
      </c>
      <c r="E213" t="s">
        <v>8</v>
      </c>
      <c r="F213" t="s">
        <v>13</v>
      </c>
      <c r="G213" t="str">
        <f t="shared" si="15"/>
        <v>Valid</v>
      </c>
      <c r="H213" t="str">
        <f t="shared" si="19"/>
        <v>Annuity</v>
      </c>
      <c r="I213" t="str">
        <f t="shared" si="16"/>
        <v>Policy Holder</v>
      </c>
      <c r="J213" t="str">
        <f t="shared" si="17"/>
        <v>Annuity</v>
      </c>
      <c r="K213" t="str">
        <f t="shared" si="18"/>
        <v>Poor Communication</v>
      </c>
    </row>
    <row r="214" spans="1:11" x14ac:dyDescent="0.35">
      <c r="A214">
        <v>214</v>
      </c>
      <c r="B214" t="s">
        <v>235</v>
      </c>
      <c r="C214" t="s">
        <v>7</v>
      </c>
      <c r="D214" t="s">
        <v>7</v>
      </c>
      <c r="E214" t="s">
        <v>19</v>
      </c>
      <c r="F214" t="s">
        <v>13</v>
      </c>
      <c r="G214" t="str">
        <f t="shared" si="15"/>
        <v>Valid</v>
      </c>
      <c r="H214" t="str">
        <f t="shared" si="19"/>
        <v>Service First</v>
      </c>
      <c r="I214" t="str">
        <f t="shared" si="16"/>
        <v>Financial Adviser</v>
      </c>
      <c r="J214" t="str">
        <f t="shared" si="17"/>
        <v>Service First</v>
      </c>
      <c r="K214" t="str">
        <f t="shared" si="18"/>
        <v>Poor Communication</v>
      </c>
    </row>
    <row r="215" spans="1:11" x14ac:dyDescent="0.35">
      <c r="A215">
        <v>215</v>
      </c>
      <c r="B215" t="s">
        <v>236</v>
      </c>
      <c r="C215" t="s">
        <v>11</v>
      </c>
      <c r="D215" t="s">
        <v>11</v>
      </c>
      <c r="E215" t="s">
        <v>8</v>
      </c>
      <c r="F215" t="s">
        <v>9</v>
      </c>
      <c r="G215" t="str">
        <f t="shared" si="15"/>
        <v>Valid</v>
      </c>
      <c r="H215" t="str">
        <f t="shared" si="19"/>
        <v>Drawdown</v>
      </c>
      <c r="I215" t="str">
        <f t="shared" si="16"/>
        <v>Policy Holder</v>
      </c>
      <c r="J215" t="str">
        <f t="shared" si="17"/>
        <v>Drawdown</v>
      </c>
      <c r="K215" t="str">
        <f t="shared" si="18"/>
        <v>Misinformation</v>
      </c>
    </row>
    <row r="216" spans="1:11" x14ac:dyDescent="0.35">
      <c r="A216">
        <v>216</v>
      </c>
      <c r="B216" t="s">
        <v>237</v>
      </c>
      <c r="C216" t="s">
        <v>11</v>
      </c>
      <c r="D216" t="s">
        <v>11</v>
      </c>
      <c r="E216" t="s">
        <v>23</v>
      </c>
      <c r="F216" t="s">
        <v>9</v>
      </c>
      <c r="G216" t="str">
        <f t="shared" si="15"/>
        <v>Valid</v>
      </c>
      <c r="H216" t="str">
        <f t="shared" si="19"/>
        <v>Drawdown</v>
      </c>
      <c r="I216" t="str">
        <f t="shared" si="16"/>
        <v>Attorney</v>
      </c>
      <c r="J216" t="str">
        <f t="shared" si="17"/>
        <v>Drawdown</v>
      </c>
      <c r="K216" t="str">
        <f t="shared" si="18"/>
        <v>Misinformation</v>
      </c>
    </row>
    <row r="217" spans="1:11" x14ac:dyDescent="0.35">
      <c r="A217">
        <v>217</v>
      </c>
      <c r="B217" t="s">
        <v>238</v>
      </c>
      <c r="C217" t="s">
        <v>7</v>
      </c>
      <c r="D217" t="s">
        <v>7</v>
      </c>
      <c r="E217" t="s">
        <v>19</v>
      </c>
      <c r="F217" t="s">
        <v>24</v>
      </c>
      <c r="G217" t="str">
        <f t="shared" si="15"/>
        <v>Valid</v>
      </c>
      <c r="H217" t="str">
        <f t="shared" si="19"/>
        <v>Service First</v>
      </c>
      <c r="I217" t="str">
        <f t="shared" si="16"/>
        <v>Financial Adviser</v>
      </c>
      <c r="J217" t="str">
        <f t="shared" si="17"/>
        <v>Service First</v>
      </c>
      <c r="K217" t="str">
        <f t="shared" si="18"/>
        <v>Delayed Response</v>
      </c>
    </row>
    <row r="218" spans="1:11" x14ac:dyDescent="0.35">
      <c r="A218">
        <v>218</v>
      </c>
      <c r="B218" t="s">
        <v>239</v>
      </c>
      <c r="C218" t="s">
        <v>16</v>
      </c>
      <c r="D218" t="s">
        <v>7</v>
      </c>
      <c r="E218" t="s">
        <v>12</v>
      </c>
      <c r="F218" t="s">
        <v>9</v>
      </c>
      <c r="G218" t="str">
        <f t="shared" si="15"/>
        <v>Valid</v>
      </c>
      <c r="H218" t="str">
        <f t="shared" si="19"/>
        <v>Annuity</v>
      </c>
      <c r="I218" t="str">
        <f t="shared" si="16"/>
        <v>Servicing Agent</v>
      </c>
      <c r="J218" t="str">
        <f t="shared" si="17"/>
        <v>Service First</v>
      </c>
      <c r="K218" t="str">
        <f t="shared" si="18"/>
        <v>Misinformation</v>
      </c>
    </row>
    <row r="219" spans="1:11" x14ac:dyDescent="0.35">
      <c r="A219">
        <v>219</v>
      </c>
      <c r="B219" t="s">
        <v>240</v>
      </c>
      <c r="C219" t="s">
        <v>11</v>
      </c>
      <c r="D219" t="s">
        <v>15</v>
      </c>
      <c r="E219" t="s">
        <v>17</v>
      </c>
      <c r="F219" t="s">
        <v>9</v>
      </c>
      <c r="G219" t="str">
        <f t="shared" si="15"/>
        <v>Valid</v>
      </c>
      <c r="H219" t="str">
        <f t="shared" si="19"/>
        <v>Drawdown</v>
      </c>
      <c r="I219" t="str">
        <f t="shared" si="16"/>
        <v>Lawyer</v>
      </c>
      <c r="J219" t="str">
        <f t="shared" si="17"/>
        <v>Workplace Pension</v>
      </c>
      <c r="K219" t="str">
        <f t="shared" si="18"/>
        <v>Misinformation</v>
      </c>
    </row>
    <row r="220" spans="1:11" x14ac:dyDescent="0.35">
      <c r="A220">
        <v>220</v>
      </c>
      <c r="B220" t="s">
        <v>241</v>
      </c>
      <c r="C220" t="s">
        <v>16</v>
      </c>
      <c r="D220" t="s">
        <v>7</v>
      </c>
      <c r="E220" t="s">
        <v>12</v>
      </c>
      <c r="F220" t="s">
        <v>13</v>
      </c>
      <c r="G220" t="str">
        <f t="shared" si="15"/>
        <v>Valid</v>
      </c>
      <c r="H220" t="str">
        <f t="shared" si="19"/>
        <v>Annuity</v>
      </c>
      <c r="I220" t="str">
        <f t="shared" si="16"/>
        <v>Servicing Agent</v>
      </c>
      <c r="J220" t="str">
        <f t="shared" si="17"/>
        <v>Service First</v>
      </c>
      <c r="K220" t="str">
        <f t="shared" si="18"/>
        <v>Poor Communication</v>
      </c>
    </row>
    <row r="221" spans="1:11" x14ac:dyDescent="0.35">
      <c r="A221">
        <v>221</v>
      </c>
      <c r="B221" t="s">
        <v>242</v>
      </c>
      <c r="C221" t="s">
        <v>11</v>
      </c>
      <c r="D221" t="s">
        <v>7</v>
      </c>
      <c r="E221" t="s">
        <v>23</v>
      </c>
      <c r="F221" t="s">
        <v>24</v>
      </c>
      <c r="G221" t="str">
        <f t="shared" si="15"/>
        <v>Valid</v>
      </c>
      <c r="H221" t="str">
        <f t="shared" si="19"/>
        <v>Drawdown</v>
      </c>
      <c r="I221" t="str">
        <f t="shared" si="16"/>
        <v>Attorney</v>
      </c>
      <c r="J221" t="str">
        <f t="shared" si="17"/>
        <v>Service First</v>
      </c>
      <c r="K221" t="str">
        <f t="shared" si="18"/>
        <v>Delayed Response</v>
      </c>
    </row>
    <row r="222" spans="1:11" x14ac:dyDescent="0.35">
      <c r="A222">
        <v>222</v>
      </c>
      <c r="B222" t="s">
        <v>243</v>
      </c>
      <c r="C222" t="s">
        <v>7</v>
      </c>
      <c r="D222" t="s">
        <v>15</v>
      </c>
      <c r="E222" t="s">
        <v>12</v>
      </c>
      <c r="F222" t="s">
        <v>9</v>
      </c>
      <c r="G222" t="str">
        <f t="shared" si="15"/>
        <v>Valid</v>
      </c>
      <c r="H222" t="str">
        <f t="shared" si="19"/>
        <v>Service First</v>
      </c>
      <c r="I222" t="str">
        <f t="shared" si="16"/>
        <v>Servicing Agent</v>
      </c>
      <c r="J222" t="str">
        <f t="shared" si="17"/>
        <v>Workplace Pension</v>
      </c>
      <c r="K222" t="str">
        <f t="shared" si="18"/>
        <v>Misinformation</v>
      </c>
    </row>
    <row r="223" spans="1:11" x14ac:dyDescent="0.35">
      <c r="A223">
        <v>223</v>
      </c>
      <c r="B223" t="s">
        <v>244</v>
      </c>
      <c r="C223" t="s">
        <v>16</v>
      </c>
      <c r="D223" t="s">
        <v>16</v>
      </c>
      <c r="E223" t="s">
        <v>12</v>
      </c>
      <c r="F223" t="s">
        <v>24</v>
      </c>
      <c r="G223" t="str">
        <f t="shared" si="15"/>
        <v>Valid</v>
      </c>
      <c r="H223" t="str">
        <f t="shared" si="19"/>
        <v>Annuity</v>
      </c>
      <c r="I223" t="str">
        <f t="shared" si="16"/>
        <v>Servicing Agent</v>
      </c>
      <c r="J223" t="str">
        <f t="shared" si="17"/>
        <v>Annuity</v>
      </c>
      <c r="K223" t="str">
        <f t="shared" si="18"/>
        <v>Delayed Response</v>
      </c>
    </row>
    <row r="224" spans="1:11" x14ac:dyDescent="0.35">
      <c r="A224">
        <v>224</v>
      </c>
      <c r="B224" t="s">
        <v>245</v>
      </c>
      <c r="C224" t="s">
        <v>15</v>
      </c>
      <c r="D224" t="s">
        <v>16</v>
      </c>
      <c r="E224" t="s">
        <v>17</v>
      </c>
      <c r="F224" t="s">
        <v>13</v>
      </c>
      <c r="G224" t="str">
        <f t="shared" si="15"/>
        <v>Valid</v>
      </c>
      <c r="H224" t="str">
        <f t="shared" si="19"/>
        <v>Workplace Pension</v>
      </c>
      <c r="I224" t="str">
        <f t="shared" si="16"/>
        <v>Lawyer</v>
      </c>
      <c r="J224" t="str">
        <f t="shared" si="17"/>
        <v>Annuity</v>
      </c>
      <c r="K224" t="str">
        <f t="shared" si="18"/>
        <v>Poor Communication</v>
      </c>
    </row>
    <row r="225" spans="1:11" x14ac:dyDescent="0.35">
      <c r="A225">
        <v>225</v>
      </c>
      <c r="B225" t="s">
        <v>246</v>
      </c>
      <c r="C225" t="s">
        <v>15</v>
      </c>
      <c r="D225" t="s">
        <v>11</v>
      </c>
      <c r="E225" t="s">
        <v>17</v>
      </c>
      <c r="F225" t="s">
        <v>9</v>
      </c>
      <c r="G225" t="str">
        <f t="shared" si="15"/>
        <v>Valid</v>
      </c>
      <c r="H225" t="str">
        <f t="shared" si="19"/>
        <v>Workplace Pension</v>
      </c>
      <c r="I225" t="str">
        <f t="shared" si="16"/>
        <v>Lawyer</v>
      </c>
      <c r="J225" t="str">
        <f t="shared" si="17"/>
        <v>Drawdown</v>
      </c>
      <c r="K225" t="str">
        <f t="shared" si="18"/>
        <v>Misinformation</v>
      </c>
    </row>
    <row r="226" spans="1:11" x14ac:dyDescent="0.35">
      <c r="A226">
        <v>226</v>
      </c>
      <c r="B226" t="s">
        <v>247</v>
      </c>
      <c r="C226" t="s">
        <v>7</v>
      </c>
      <c r="D226" t="s">
        <v>7</v>
      </c>
      <c r="E226" t="s">
        <v>17</v>
      </c>
      <c r="F226" t="s">
        <v>13</v>
      </c>
      <c r="G226" t="str">
        <f t="shared" si="15"/>
        <v>Valid</v>
      </c>
      <c r="H226" t="str">
        <f t="shared" si="19"/>
        <v>Service First</v>
      </c>
      <c r="I226" t="str">
        <f t="shared" si="16"/>
        <v>Lawyer</v>
      </c>
      <c r="J226" t="str">
        <f t="shared" si="17"/>
        <v>Service First</v>
      </c>
      <c r="K226" t="str">
        <f t="shared" si="18"/>
        <v>Poor Communication</v>
      </c>
    </row>
    <row r="227" spans="1:11" x14ac:dyDescent="0.35">
      <c r="A227">
        <v>227</v>
      </c>
      <c r="B227" t="s">
        <v>248</v>
      </c>
      <c r="C227" t="s">
        <v>15</v>
      </c>
      <c r="D227" t="s">
        <v>16</v>
      </c>
      <c r="E227" t="s">
        <v>23</v>
      </c>
      <c r="F227" t="s">
        <v>13</v>
      </c>
      <c r="G227" t="str">
        <f t="shared" si="15"/>
        <v>Valid</v>
      </c>
      <c r="H227" t="str">
        <f t="shared" si="19"/>
        <v>Workplace Pension</v>
      </c>
      <c r="I227" t="str">
        <f t="shared" si="16"/>
        <v>Attorney</v>
      </c>
      <c r="J227" t="str">
        <f t="shared" si="17"/>
        <v>Annuity</v>
      </c>
      <c r="K227" t="str">
        <f t="shared" si="18"/>
        <v>Poor Communication</v>
      </c>
    </row>
    <row r="228" spans="1:11" x14ac:dyDescent="0.35">
      <c r="A228">
        <v>228</v>
      </c>
      <c r="B228" t="s">
        <v>249</v>
      </c>
      <c r="C228" t="s">
        <v>15</v>
      </c>
      <c r="D228" t="s">
        <v>16</v>
      </c>
      <c r="E228" t="s">
        <v>23</v>
      </c>
      <c r="F228" t="s">
        <v>24</v>
      </c>
      <c r="G228" t="str">
        <f t="shared" si="15"/>
        <v>Valid</v>
      </c>
      <c r="H228" t="str">
        <f t="shared" si="19"/>
        <v>Workplace Pension</v>
      </c>
      <c r="I228" t="str">
        <f t="shared" si="16"/>
        <v>Attorney</v>
      </c>
      <c r="J228" t="str">
        <f t="shared" si="17"/>
        <v>Annuity</v>
      </c>
      <c r="K228" t="str">
        <f t="shared" si="18"/>
        <v>Delayed Response</v>
      </c>
    </row>
    <row r="229" spans="1:11" x14ac:dyDescent="0.35">
      <c r="A229">
        <v>229</v>
      </c>
      <c r="B229" t="s">
        <v>250</v>
      </c>
      <c r="C229" t="s">
        <v>16</v>
      </c>
      <c r="D229" t="s">
        <v>16</v>
      </c>
      <c r="E229" t="s">
        <v>17</v>
      </c>
      <c r="F229" t="s">
        <v>13</v>
      </c>
      <c r="G229" t="str">
        <f t="shared" si="15"/>
        <v>Valid</v>
      </c>
      <c r="H229" t="str">
        <f t="shared" si="19"/>
        <v>Annuity</v>
      </c>
      <c r="I229" t="str">
        <f t="shared" si="16"/>
        <v>Lawyer</v>
      </c>
      <c r="J229" t="str">
        <f t="shared" si="17"/>
        <v>Annuity</v>
      </c>
      <c r="K229" t="str">
        <f t="shared" si="18"/>
        <v>Poor Communication</v>
      </c>
    </row>
    <row r="230" spans="1:11" x14ac:dyDescent="0.35">
      <c r="A230">
        <v>230</v>
      </c>
      <c r="B230" t="s">
        <v>251</v>
      </c>
      <c r="C230" t="s">
        <v>7</v>
      </c>
      <c r="D230" t="s">
        <v>11</v>
      </c>
      <c r="E230" t="s">
        <v>12</v>
      </c>
      <c r="F230" t="s">
        <v>13</v>
      </c>
      <c r="G230" t="str">
        <f t="shared" si="15"/>
        <v>Valid</v>
      </c>
      <c r="H230" t="str">
        <f t="shared" si="19"/>
        <v>Service First</v>
      </c>
      <c r="I230" t="str">
        <f t="shared" si="16"/>
        <v>Servicing Agent</v>
      </c>
      <c r="J230" t="str">
        <f t="shared" si="17"/>
        <v>Drawdown</v>
      </c>
      <c r="K230" t="str">
        <f t="shared" si="18"/>
        <v>Poor Communication</v>
      </c>
    </row>
    <row r="231" spans="1:11" x14ac:dyDescent="0.35">
      <c r="A231">
        <v>231</v>
      </c>
      <c r="B231" t="s">
        <v>252</v>
      </c>
      <c r="C231" t="s">
        <v>15</v>
      </c>
      <c r="D231" t="s">
        <v>7</v>
      </c>
      <c r="E231" t="s">
        <v>19</v>
      </c>
      <c r="F231" t="s">
        <v>13</v>
      </c>
      <c r="G231" t="str">
        <f t="shared" si="15"/>
        <v>Valid</v>
      </c>
      <c r="H231" t="str">
        <f t="shared" si="19"/>
        <v>Workplace Pension</v>
      </c>
      <c r="I231" t="str">
        <f t="shared" si="16"/>
        <v>Financial Adviser</v>
      </c>
      <c r="J231" t="str">
        <f t="shared" si="17"/>
        <v>Service First</v>
      </c>
      <c r="K231" t="str">
        <f t="shared" si="18"/>
        <v>Poor Communication</v>
      </c>
    </row>
    <row r="232" spans="1:11" x14ac:dyDescent="0.35">
      <c r="A232">
        <v>232</v>
      </c>
      <c r="B232" t="s">
        <v>253</v>
      </c>
      <c r="C232" t="s">
        <v>7</v>
      </c>
      <c r="D232" t="s">
        <v>7</v>
      </c>
      <c r="E232" t="s">
        <v>19</v>
      </c>
      <c r="F232" t="s">
        <v>13</v>
      </c>
      <c r="G232" t="str">
        <f t="shared" si="15"/>
        <v>Valid</v>
      </c>
      <c r="H232" t="str">
        <f t="shared" si="19"/>
        <v>Service First</v>
      </c>
      <c r="I232" t="str">
        <f t="shared" si="16"/>
        <v>Financial Adviser</v>
      </c>
      <c r="J232" t="str">
        <f t="shared" si="17"/>
        <v>Service First</v>
      </c>
      <c r="K232" t="str">
        <f t="shared" si="18"/>
        <v>Poor Communication</v>
      </c>
    </row>
    <row r="233" spans="1:11" x14ac:dyDescent="0.35">
      <c r="A233">
        <v>233</v>
      </c>
      <c r="B233" t="s">
        <v>254</v>
      </c>
      <c r="C233" t="s">
        <v>16</v>
      </c>
      <c r="D233" t="s">
        <v>15</v>
      </c>
      <c r="E233" t="s">
        <v>17</v>
      </c>
      <c r="F233" t="s">
        <v>13</v>
      </c>
      <c r="G233" t="str">
        <f t="shared" si="15"/>
        <v>Valid</v>
      </c>
      <c r="H233" t="str">
        <f t="shared" si="19"/>
        <v>Annuity</v>
      </c>
      <c r="I233" t="str">
        <f t="shared" si="16"/>
        <v>Lawyer</v>
      </c>
      <c r="J233" t="str">
        <f t="shared" si="17"/>
        <v>Workplace Pension</v>
      </c>
      <c r="K233" t="str">
        <f t="shared" si="18"/>
        <v>Poor Communication</v>
      </c>
    </row>
    <row r="234" spans="1:11" x14ac:dyDescent="0.35">
      <c r="A234">
        <v>234</v>
      </c>
      <c r="B234" t="s">
        <v>255</v>
      </c>
      <c r="C234" t="s">
        <v>7</v>
      </c>
      <c r="D234" t="s">
        <v>7</v>
      </c>
      <c r="E234" t="s">
        <v>12</v>
      </c>
      <c r="F234" t="s">
        <v>13</v>
      </c>
      <c r="G234" t="str">
        <f t="shared" si="15"/>
        <v>Valid</v>
      </c>
      <c r="H234" t="str">
        <f t="shared" si="19"/>
        <v>Service First</v>
      </c>
      <c r="I234" t="str">
        <f t="shared" si="16"/>
        <v>Servicing Agent</v>
      </c>
      <c r="J234" t="str">
        <f t="shared" si="17"/>
        <v>Service First</v>
      </c>
      <c r="K234" t="str">
        <f t="shared" si="18"/>
        <v>Poor Communication</v>
      </c>
    </row>
    <row r="235" spans="1:11" x14ac:dyDescent="0.35">
      <c r="A235">
        <v>235</v>
      </c>
      <c r="B235" t="s">
        <v>256</v>
      </c>
      <c r="C235" t="s">
        <v>7</v>
      </c>
      <c r="D235" t="s">
        <v>7</v>
      </c>
      <c r="E235" t="s">
        <v>23</v>
      </c>
      <c r="F235" t="s">
        <v>13</v>
      </c>
      <c r="G235" t="str">
        <f t="shared" si="15"/>
        <v>Valid</v>
      </c>
      <c r="H235" t="str">
        <f t="shared" si="19"/>
        <v>Service First</v>
      </c>
      <c r="I235" t="str">
        <f t="shared" si="16"/>
        <v>Attorney</v>
      </c>
      <c r="J235" t="str">
        <f t="shared" si="17"/>
        <v>Service First</v>
      </c>
      <c r="K235" t="str">
        <f t="shared" si="18"/>
        <v>Poor Communication</v>
      </c>
    </row>
    <row r="236" spans="1:11" x14ac:dyDescent="0.35">
      <c r="A236">
        <v>236</v>
      </c>
      <c r="B236" t="s">
        <v>257</v>
      </c>
      <c r="C236" t="s">
        <v>16</v>
      </c>
      <c r="D236" t="s">
        <v>15</v>
      </c>
      <c r="E236" t="s">
        <v>17</v>
      </c>
      <c r="F236" t="s">
        <v>13</v>
      </c>
      <c r="G236" t="str">
        <f t="shared" si="15"/>
        <v>Valid</v>
      </c>
      <c r="H236" t="str">
        <f t="shared" si="19"/>
        <v>Annuity</v>
      </c>
      <c r="I236" t="str">
        <f t="shared" si="16"/>
        <v>Lawyer</v>
      </c>
      <c r="J236" t="str">
        <f t="shared" si="17"/>
        <v>Workplace Pension</v>
      </c>
      <c r="K236" t="str">
        <f t="shared" si="18"/>
        <v>Poor Communication</v>
      </c>
    </row>
    <row r="237" spans="1:11" x14ac:dyDescent="0.35">
      <c r="A237">
        <v>237</v>
      </c>
      <c r="B237" t="s">
        <v>258</v>
      </c>
      <c r="C237" t="s">
        <v>11</v>
      </c>
      <c r="D237" t="s">
        <v>16</v>
      </c>
      <c r="E237" t="s">
        <v>12</v>
      </c>
      <c r="F237" t="s">
        <v>13</v>
      </c>
      <c r="G237" t="str">
        <f t="shared" si="15"/>
        <v>Valid</v>
      </c>
      <c r="H237" t="str">
        <f t="shared" si="19"/>
        <v>Drawdown</v>
      </c>
      <c r="I237" t="str">
        <f t="shared" si="16"/>
        <v>Servicing Agent</v>
      </c>
      <c r="J237" t="str">
        <f t="shared" si="17"/>
        <v>Annuity</v>
      </c>
      <c r="K237" t="str">
        <f t="shared" si="18"/>
        <v>Poor Communication</v>
      </c>
    </row>
    <row r="238" spans="1:11" x14ac:dyDescent="0.35">
      <c r="A238">
        <v>238</v>
      </c>
      <c r="B238" t="s">
        <v>259</v>
      </c>
      <c r="C238" t="s">
        <v>7</v>
      </c>
      <c r="D238" t="s">
        <v>16</v>
      </c>
      <c r="E238" t="s">
        <v>12</v>
      </c>
      <c r="F238" t="s">
        <v>9</v>
      </c>
      <c r="G238" t="str">
        <f t="shared" si="15"/>
        <v>Valid</v>
      </c>
      <c r="H238" t="str">
        <f t="shared" si="19"/>
        <v>Service First</v>
      </c>
      <c r="I238" t="str">
        <f t="shared" si="16"/>
        <v>Servicing Agent</v>
      </c>
      <c r="J238" t="str">
        <f t="shared" si="17"/>
        <v>Annuity</v>
      </c>
      <c r="K238" t="str">
        <f t="shared" si="18"/>
        <v>Misinformation</v>
      </c>
    </row>
    <row r="239" spans="1:11" x14ac:dyDescent="0.35">
      <c r="A239">
        <v>239</v>
      </c>
      <c r="B239" t="s">
        <v>260</v>
      </c>
      <c r="C239" t="s">
        <v>15</v>
      </c>
      <c r="D239" t="s">
        <v>16</v>
      </c>
      <c r="E239" t="s">
        <v>17</v>
      </c>
      <c r="F239" t="s">
        <v>13</v>
      </c>
      <c r="G239" t="str">
        <f t="shared" si="15"/>
        <v>Valid</v>
      </c>
      <c r="H239" t="str">
        <f t="shared" si="19"/>
        <v>Workplace Pension</v>
      </c>
      <c r="I239" t="str">
        <f t="shared" si="16"/>
        <v>Lawyer</v>
      </c>
      <c r="J239" t="str">
        <f t="shared" si="17"/>
        <v>Annuity</v>
      </c>
      <c r="K239" t="str">
        <f t="shared" si="18"/>
        <v>Poor Communication</v>
      </c>
    </row>
    <row r="240" spans="1:11" x14ac:dyDescent="0.35">
      <c r="A240">
        <v>240</v>
      </c>
      <c r="B240" t="s">
        <v>261</v>
      </c>
      <c r="C240" t="s">
        <v>7</v>
      </c>
      <c r="D240" t="s">
        <v>15</v>
      </c>
      <c r="E240" t="s">
        <v>12</v>
      </c>
      <c r="F240" t="s">
        <v>13</v>
      </c>
      <c r="G240" t="str">
        <f t="shared" si="15"/>
        <v>Valid</v>
      </c>
      <c r="H240" t="str">
        <f t="shared" si="19"/>
        <v>Service First</v>
      </c>
      <c r="I240" t="str">
        <f t="shared" si="16"/>
        <v>Servicing Agent</v>
      </c>
      <c r="J240" t="str">
        <f t="shared" si="17"/>
        <v>Workplace Pension</v>
      </c>
      <c r="K240" t="str">
        <f t="shared" si="18"/>
        <v>Poor Communication</v>
      </c>
    </row>
    <row r="241" spans="1:11" x14ac:dyDescent="0.35">
      <c r="A241">
        <v>241</v>
      </c>
      <c r="B241" t="s">
        <v>262</v>
      </c>
      <c r="C241" t="s">
        <v>7</v>
      </c>
      <c r="D241" t="s">
        <v>15</v>
      </c>
      <c r="E241" t="s">
        <v>12</v>
      </c>
      <c r="F241" t="s">
        <v>9</v>
      </c>
      <c r="G241" t="str">
        <f t="shared" si="15"/>
        <v>Valid</v>
      </c>
      <c r="H241" t="str">
        <f t="shared" si="19"/>
        <v>Service First</v>
      </c>
      <c r="I241" t="str">
        <f t="shared" si="16"/>
        <v>Servicing Agent</v>
      </c>
      <c r="J241" t="str">
        <f t="shared" si="17"/>
        <v>Workplace Pension</v>
      </c>
      <c r="K241" t="str">
        <f t="shared" si="18"/>
        <v>Misinformation</v>
      </c>
    </row>
    <row r="242" spans="1:11" x14ac:dyDescent="0.35">
      <c r="A242">
        <v>242</v>
      </c>
      <c r="B242" t="s">
        <v>263</v>
      </c>
      <c r="C242" t="s">
        <v>15</v>
      </c>
      <c r="D242" t="s">
        <v>7</v>
      </c>
      <c r="E242" t="s">
        <v>19</v>
      </c>
      <c r="F242" t="s">
        <v>13</v>
      </c>
      <c r="G242" t="str">
        <f t="shared" si="15"/>
        <v>Valid</v>
      </c>
      <c r="H242" t="str">
        <f t="shared" si="19"/>
        <v>Workplace Pension</v>
      </c>
      <c r="I242" t="str">
        <f t="shared" si="16"/>
        <v>Financial Adviser</v>
      </c>
      <c r="J242" t="str">
        <f t="shared" si="17"/>
        <v>Service First</v>
      </c>
      <c r="K242" t="str">
        <f t="shared" si="18"/>
        <v>Poor Communication</v>
      </c>
    </row>
    <row r="243" spans="1:11" x14ac:dyDescent="0.35">
      <c r="A243">
        <v>243</v>
      </c>
      <c r="B243" t="s">
        <v>264</v>
      </c>
      <c r="C243" t="s">
        <v>16</v>
      </c>
      <c r="D243" t="s">
        <v>15</v>
      </c>
      <c r="E243" t="s">
        <v>23</v>
      </c>
      <c r="F243" t="s">
        <v>13</v>
      </c>
      <c r="G243" t="str">
        <f t="shared" si="15"/>
        <v>Valid</v>
      </c>
      <c r="H243" t="str">
        <f t="shared" si="19"/>
        <v>Annuity</v>
      </c>
      <c r="I243" t="str">
        <f t="shared" si="16"/>
        <v>Attorney</v>
      </c>
      <c r="J243" t="str">
        <f t="shared" si="17"/>
        <v>Workplace Pension</v>
      </c>
      <c r="K243" t="str">
        <f t="shared" si="18"/>
        <v>Poor Communication</v>
      </c>
    </row>
    <row r="244" spans="1:11" x14ac:dyDescent="0.35">
      <c r="A244">
        <v>244</v>
      </c>
      <c r="B244" t="s">
        <v>265</v>
      </c>
      <c r="C244" t="s">
        <v>15</v>
      </c>
      <c r="D244" t="s">
        <v>15</v>
      </c>
      <c r="E244" t="s">
        <v>17</v>
      </c>
      <c r="F244" t="s">
        <v>13</v>
      </c>
      <c r="G244" t="str">
        <f t="shared" si="15"/>
        <v>Valid</v>
      </c>
      <c r="H244" t="str">
        <f t="shared" si="19"/>
        <v>Workplace Pension</v>
      </c>
      <c r="I244" t="str">
        <f t="shared" si="16"/>
        <v>Lawyer</v>
      </c>
      <c r="J244" t="str">
        <f t="shared" si="17"/>
        <v>Workplace Pension</v>
      </c>
      <c r="K244" t="str">
        <f t="shared" si="18"/>
        <v>Poor Communication</v>
      </c>
    </row>
    <row r="245" spans="1:11" x14ac:dyDescent="0.35">
      <c r="A245">
        <v>245</v>
      </c>
      <c r="B245" t="s">
        <v>266</v>
      </c>
      <c r="C245" t="s">
        <v>16</v>
      </c>
      <c r="D245" t="s">
        <v>11</v>
      </c>
      <c r="E245" t="s">
        <v>17</v>
      </c>
      <c r="F245" t="s">
        <v>13</v>
      </c>
      <c r="G245" t="str">
        <f t="shared" si="15"/>
        <v>Valid</v>
      </c>
      <c r="H245" t="str">
        <f t="shared" si="19"/>
        <v>Annuity</v>
      </c>
      <c r="I245" t="str">
        <f t="shared" si="16"/>
        <v>Lawyer</v>
      </c>
      <c r="J245" t="str">
        <f t="shared" si="17"/>
        <v>Drawdown</v>
      </c>
      <c r="K245" t="str">
        <f t="shared" si="18"/>
        <v>Poor Communication</v>
      </c>
    </row>
    <row r="246" spans="1:11" x14ac:dyDescent="0.35">
      <c r="A246">
        <v>246</v>
      </c>
      <c r="B246" t="s">
        <v>267</v>
      </c>
      <c r="C246" t="s">
        <v>16</v>
      </c>
      <c r="D246" t="s">
        <v>15</v>
      </c>
      <c r="E246" t="s">
        <v>19</v>
      </c>
      <c r="F246" t="s">
        <v>13</v>
      </c>
      <c r="G246" t="str">
        <f t="shared" si="15"/>
        <v>Valid</v>
      </c>
      <c r="H246" t="str">
        <f t="shared" si="19"/>
        <v>Annuity</v>
      </c>
      <c r="I246" t="str">
        <f t="shared" si="16"/>
        <v>Financial Adviser</v>
      </c>
      <c r="J246" t="str">
        <f t="shared" si="17"/>
        <v>Workplace Pension</v>
      </c>
      <c r="K246" t="str">
        <f t="shared" si="18"/>
        <v>Poor Communication</v>
      </c>
    </row>
    <row r="247" spans="1:11" x14ac:dyDescent="0.35">
      <c r="A247">
        <v>247</v>
      </c>
      <c r="B247" t="s">
        <v>268</v>
      </c>
      <c r="C247" t="s">
        <v>11</v>
      </c>
      <c r="D247" t="s">
        <v>16</v>
      </c>
      <c r="E247" t="s">
        <v>12</v>
      </c>
      <c r="F247" t="s">
        <v>24</v>
      </c>
      <c r="G247" t="str">
        <f t="shared" si="15"/>
        <v>Valid</v>
      </c>
      <c r="H247" t="str">
        <f t="shared" si="19"/>
        <v>Drawdown</v>
      </c>
      <c r="I247" t="str">
        <f t="shared" si="16"/>
        <v>Servicing Agent</v>
      </c>
      <c r="J247" t="str">
        <f t="shared" si="17"/>
        <v>Annuity</v>
      </c>
      <c r="K247" t="str">
        <f t="shared" si="18"/>
        <v>Delayed Response</v>
      </c>
    </row>
    <row r="248" spans="1:11" x14ac:dyDescent="0.35">
      <c r="A248">
        <v>248</v>
      </c>
      <c r="B248" t="s">
        <v>269</v>
      </c>
      <c r="C248" t="s">
        <v>15</v>
      </c>
      <c r="D248" t="s">
        <v>15</v>
      </c>
      <c r="E248" t="s">
        <v>23</v>
      </c>
      <c r="F248" t="s">
        <v>9</v>
      </c>
      <c r="G248" t="str">
        <f t="shared" si="15"/>
        <v>Valid</v>
      </c>
      <c r="H248" t="str">
        <f t="shared" si="19"/>
        <v>Workplace Pension</v>
      </c>
      <c r="I248" t="str">
        <f t="shared" si="16"/>
        <v>Attorney</v>
      </c>
      <c r="J248" t="str">
        <f t="shared" si="17"/>
        <v>Workplace Pension</v>
      </c>
      <c r="K248" t="str">
        <f t="shared" si="18"/>
        <v>Misinformation</v>
      </c>
    </row>
    <row r="249" spans="1:11" x14ac:dyDescent="0.35">
      <c r="A249">
        <v>249</v>
      </c>
      <c r="B249" t="s">
        <v>270</v>
      </c>
      <c r="C249" t="s">
        <v>7</v>
      </c>
      <c r="D249" t="s">
        <v>11</v>
      </c>
      <c r="E249" t="s">
        <v>12</v>
      </c>
      <c r="F249" t="s">
        <v>13</v>
      </c>
      <c r="G249" t="str">
        <f t="shared" si="15"/>
        <v>Valid</v>
      </c>
      <c r="H249" t="str">
        <f t="shared" si="19"/>
        <v>Service First</v>
      </c>
      <c r="I249" t="str">
        <f t="shared" si="16"/>
        <v>Servicing Agent</v>
      </c>
      <c r="J249" t="str">
        <f t="shared" si="17"/>
        <v>Drawdown</v>
      </c>
      <c r="K249" t="str">
        <f t="shared" si="18"/>
        <v>Poor Communication</v>
      </c>
    </row>
    <row r="250" spans="1:11" x14ac:dyDescent="0.35">
      <c r="A250">
        <v>250</v>
      </c>
      <c r="B250" t="s">
        <v>271</v>
      </c>
      <c r="C250" t="s">
        <v>16</v>
      </c>
      <c r="D250" t="s">
        <v>11</v>
      </c>
      <c r="E250" t="s">
        <v>12</v>
      </c>
      <c r="F250" t="s">
        <v>13</v>
      </c>
      <c r="G250" t="str">
        <f t="shared" si="15"/>
        <v>Valid</v>
      </c>
      <c r="H250" t="str">
        <f t="shared" si="19"/>
        <v>Annuity</v>
      </c>
      <c r="I250" t="str">
        <f t="shared" si="16"/>
        <v>Servicing Agent</v>
      </c>
      <c r="J250" t="str">
        <f t="shared" si="17"/>
        <v>Drawdown</v>
      </c>
      <c r="K250" t="str">
        <f t="shared" si="18"/>
        <v>Poor Communication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22E05-EB41-4FFD-8827-B04B6F013BA7}">
  <dimension ref="A3:B8"/>
  <sheetViews>
    <sheetView workbookViewId="0">
      <selection activeCell="B21" sqref="B21"/>
    </sheetView>
  </sheetViews>
  <sheetFormatPr defaultRowHeight="14.5" x14ac:dyDescent="0.35"/>
  <cols>
    <col min="1" max="1" width="18.54296875" bestFit="1" customWidth="1"/>
    <col min="2" max="2" width="18.7265625" bestFit="1" customWidth="1"/>
    <col min="3" max="10" width="1.81640625" bestFit="1" customWidth="1"/>
    <col min="11" max="99" width="2.81640625" bestFit="1" customWidth="1"/>
    <col min="100" max="250" width="3.81640625" bestFit="1" customWidth="1"/>
    <col min="251" max="251" width="6.7265625" bestFit="1" customWidth="1"/>
    <col min="252" max="252" width="10.7265625" bestFit="1" customWidth="1"/>
  </cols>
  <sheetData>
    <row r="3" spans="1:2" x14ac:dyDescent="0.35">
      <c r="A3" s="1" t="s">
        <v>277</v>
      </c>
      <c r="B3" t="s">
        <v>280</v>
      </c>
    </row>
    <row r="4" spans="1:2" x14ac:dyDescent="0.35">
      <c r="A4" s="2"/>
    </row>
    <row r="5" spans="1:2" x14ac:dyDescent="0.35">
      <c r="A5" s="2" t="s">
        <v>24</v>
      </c>
      <c r="B5">
        <v>4639</v>
      </c>
    </row>
    <row r="6" spans="1:2" x14ac:dyDescent="0.35">
      <c r="A6" s="2" t="s">
        <v>9</v>
      </c>
      <c r="B6">
        <v>10629</v>
      </c>
    </row>
    <row r="7" spans="1:2" x14ac:dyDescent="0.35">
      <c r="A7" s="2" t="s">
        <v>13</v>
      </c>
      <c r="B7">
        <v>16056</v>
      </c>
    </row>
    <row r="8" spans="1:2" x14ac:dyDescent="0.35">
      <c r="A8" s="2" t="s">
        <v>279</v>
      </c>
      <c r="B8">
        <v>31324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B5681-AB54-4F21-9FEA-C60A890376B0}">
  <dimension ref="A3:B9"/>
  <sheetViews>
    <sheetView workbookViewId="0">
      <selection activeCell="N11" sqref="N11"/>
    </sheetView>
  </sheetViews>
  <sheetFormatPr defaultRowHeight="14.5" x14ac:dyDescent="0.35"/>
  <cols>
    <col min="1" max="1" width="16.81640625" bestFit="1" customWidth="1"/>
    <col min="2" max="2" width="18.7265625" bestFit="1" customWidth="1"/>
  </cols>
  <sheetData>
    <row r="3" spans="1:2" x14ac:dyDescent="0.35">
      <c r="A3" s="1" t="s">
        <v>277</v>
      </c>
      <c r="B3" t="s">
        <v>280</v>
      </c>
    </row>
    <row r="4" spans="1:2" x14ac:dyDescent="0.35">
      <c r="A4" s="2" t="s">
        <v>16</v>
      </c>
      <c r="B4">
        <v>9538</v>
      </c>
    </row>
    <row r="5" spans="1:2" x14ac:dyDescent="0.35">
      <c r="A5" s="2" t="s">
        <v>11</v>
      </c>
      <c r="B5">
        <v>6416</v>
      </c>
    </row>
    <row r="6" spans="1:2" x14ac:dyDescent="0.35">
      <c r="A6" s="2" t="s">
        <v>7</v>
      </c>
      <c r="B6">
        <v>7395</v>
      </c>
    </row>
    <row r="7" spans="1:2" x14ac:dyDescent="0.35">
      <c r="A7" s="2" t="s">
        <v>15</v>
      </c>
      <c r="B7">
        <v>7975</v>
      </c>
    </row>
    <row r="8" spans="1:2" x14ac:dyDescent="0.35">
      <c r="A8" s="2" t="s">
        <v>278</v>
      </c>
    </row>
    <row r="9" spans="1:2" x14ac:dyDescent="0.35">
      <c r="A9" s="2" t="s">
        <v>279</v>
      </c>
      <c r="B9">
        <v>31324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39D21-7B8B-4EF0-B721-829EE55A1095}">
  <dimension ref="A3:H10"/>
  <sheetViews>
    <sheetView tabSelected="1" workbookViewId="0">
      <selection activeCell="P20" sqref="P20"/>
    </sheetView>
  </sheetViews>
  <sheetFormatPr defaultRowHeight="14.5" x14ac:dyDescent="0.35"/>
  <cols>
    <col min="1" max="1" width="29.26953125" bestFit="1" customWidth="1"/>
    <col min="2" max="2" width="13.81640625" bestFit="1" customWidth="1"/>
    <col min="3" max="3" width="8.26953125" bestFit="1" customWidth="1"/>
    <col min="4" max="4" width="14.81640625" bestFit="1" customWidth="1"/>
    <col min="5" max="5" width="6.7265625" bestFit="1" customWidth="1"/>
    <col min="6" max="6" width="11.7265625" bestFit="1" customWidth="1"/>
    <col min="7" max="7" width="13.54296875" bestFit="1" customWidth="1"/>
    <col min="8" max="8" width="10.7265625" bestFit="1" customWidth="1"/>
    <col min="9" max="10" width="1.81640625" bestFit="1" customWidth="1"/>
    <col min="11" max="99" width="2.81640625" bestFit="1" customWidth="1"/>
    <col min="100" max="250" width="3.81640625" bestFit="1" customWidth="1"/>
    <col min="251" max="251" width="6.7265625" bestFit="1" customWidth="1"/>
    <col min="252" max="252" width="10.7265625" bestFit="1" customWidth="1"/>
  </cols>
  <sheetData>
    <row r="3" spans="1:8" x14ac:dyDescent="0.35">
      <c r="A3" s="1" t="s">
        <v>281</v>
      </c>
      <c r="B3" s="1" t="s">
        <v>5</v>
      </c>
    </row>
    <row r="4" spans="1:8" x14ac:dyDescent="0.35">
      <c r="A4" s="1" t="s">
        <v>277</v>
      </c>
      <c r="C4" t="s">
        <v>23</v>
      </c>
      <c r="D4" t="s">
        <v>19</v>
      </c>
      <c r="E4" t="s">
        <v>17</v>
      </c>
      <c r="F4" t="s">
        <v>8</v>
      </c>
      <c r="G4" t="s">
        <v>12</v>
      </c>
      <c r="H4" t="s">
        <v>279</v>
      </c>
    </row>
    <row r="5" spans="1:8" x14ac:dyDescent="0.35">
      <c r="A5" s="2" t="s">
        <v>24</v>
      </c>
      <c r="C5">
        <v>10</v>
      </c>
      <c r="D5">
        <v>5</v>
      </c>
      <c r="E5">
        <v>9</v>
      </c>
      <c r="F5">
        <v>12</v>
      </c>
      <c r="G5">
        <v>8</v>
      </c>
      <c r="H5">
        <v>44</v>
      </c>
    </row>
    <row r="6" spans="1:8" x14ac:dyDescent="0.35">
      <c r="A6" s="2" t="s">
        <v>9</v>
      </c>
      <c r="C6">
        <v>13</v>
      </c>
      <c r="D6">
        <v>18</v>
      </c>
      <c r="E6">
        <v>12</v>
      </c>
      <c r="F6">
        <v>16</v>
      </c>
      <c r="G6">
        <v>20</v>
      </c>
      <c r="H6">
        <v>79</v>
      </c>
    </row>
    <row r="7" spans="1:8" x14ac:dyDescent="0.35">
      <c r="A7" s="2" t="s">
        <v>62</v>
      </c>
      <c r="G7">
        <v>1</v>
      </c>
      <c r="H7">
        <v>1</v>
      </c>
    </row>
    <row r="8" spans="1:8" x14ac:dyDescent="0.35">
      <c r="A8" s="2" t="s">
        <v>13</v>
      </c>
      <c r="C8">
        <v>28</v>
      </c>
      <c r="D8">
        <v>19</v>
      </c>
      <c r="E8">
        <v>34</v>
      </c>
      <c r="F8">
        <v>17</v>
      </c>
      <c r="G8">
        <v>27</v>
      </c>
      <c r="H8">
        <v>125</v>
      </c>
    </row>
    <row r="9" spans="1:8" x14ac:dyDescent="0.35">
      <c r="A9" s="2" t="s">
        <v>278</v>
      </c>
      <c r="B9">
        <v>1</v>
      </c>
      <c r="H9">
        <v>1</v>
      </c>
    </row>
    <row r="10" spans="1:8" x14ac:dyDescent="0.35">
      <c r="A10" s="2" t="s">
        <v>279</v>
      </c>
      <c r="B10">
        <v>1</v>
      </c>
      <c r="C10">
        <v>51</v>
      </c>
      <c r="D10">
        <v>42</v>
      </c>
      <c r="E10">
        <v>55</v>
      </c>
      <c r="F10">
        <v>45</v>
      </c>
      <c r="G10">
        <v>56</v>
      </c>
      <c r="H10">
        <v>250</v>
      </c>
    </row>
  </sheetData>
  <conditionalFormatting sqref="A3:H3 A4:A10 D4:H4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3:B3 A4:A22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{F729528C-56FE-4E38-AFE2-A7C8E9491F24}</x14:id>
        </ext>
      </extLst>
    </cfRule>
  </conditionalFormatting>
  <conditionalFormatting sqref="A3:H3 A4:A10 D4:H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:H3 A4:A10 D4:H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3:H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29528C-56FE-4E38-AFE2-A7C8E9491F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A3:B3 A4:A22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19EA-C5DA-489C-A3C8-BD71587DB5D7}">
  <dimension ref="A3:B10"/>
  <sheetViews>
    <sheetView workbookViewId="0">
      <selection activeCell="B15" sqref="B15"/>
    </sheetView>
  </sheetViews>
  <sheetFormatPr defaultRowHeight="14.5" x14ac:dyDescent="0.35"/>
  <cols>
    <col min="1" max="1" width="14.81640625" bestFit="1" customWidth="1"/>
    <col min="2" max="2" width="18.7265625" bestFit="1" customWidth="1"/>
  </cols>
  <sheetData>
    <row r="3" spans="1:2" x14ac:dyDescent="0.35">
      <c r="A3" s="1" t="s">
        <v>277</v>
      </c>
      <c r="B3" t="s">
        <v>280</v>
      </c>
    </row>
    <row r="4" spans="1:2" x14ac:dyDescent="0.35">
      <c r="A4" s="2"/>
    </row>
    <row r="5" spans="1:2" x14ac:dyDescent="0.35">
      <c r="A5" s="2" t="s">
        <v>23</v>
      </c>
      <c r="B5">
        <v>6604</v>
      </c>
    </row>
    <row r="6" spans="1:2" x14ac:dyDescent="0.35">
      <c r="A6" s="2" t="s">
        <v>19</v>
      </c>
      <c r="B6">
        <v>4607</v>
      </c>
    </row>
    <row r="7" spans="1:2" x14ac:dyDescent="0.35">
      <c r="A7" s="2" t="s">
        <v>17</v>
      </c>
      <c r="B7">
        <v>7422</v>
      </c>
    </row>
    <row r="8" spans="1:2" x14ac:dyDescent="0.35">
      <c r="A8" s="2" t="s">
        <v>8</v>
      </c>
      <c r="B8">
        <v>4842</v>
      </c>
    </row>
    <row r="9" spans="1:2" x14ac:dyDescent="0.35">
      <c r="A9" s="2" t="s">
        <v>12</v>
      </c>
      <c r="B9">
        <v>7849</v>
      </c>
    </row>
    <row r="10" spans="1:2" x14ac:dyDescent="0.35">
      <c r="A10" s="2" t="s">
        <v>279</v>
      </c>
      <c r="B10">
        <v>31324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4A828C-0677-4A6F-9EE7-5C2387EE77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pension_complaints_dataset</vt:lpstr>
      <vt:lpstr>Cleaned_Data</vt:lpstr>
      <vt:lpstr>Root_Cause_Pivot</vt:lpstr>
      <vt:lpstr>Resp_Team</vt:lpstr>
      <vt:lpstr>CrossTeam</vt:lpstr>
      <vt:lpstr>Complainant_Type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 Fawehinmi</dc:creator>
  <cp:lastModifiedBy>USER</cp:lastModifiedBy>
  <dcterms:created xsi:type="dcterms:W3CDTF">2026-04-03T10:23:50Z</dcterms:created>
  <dcterms:modified xsi:type="dcterms:W3CDTF">2026-04-05T13:48:32Z</dcterms:modified>
</cp:coreProperties>
</file>